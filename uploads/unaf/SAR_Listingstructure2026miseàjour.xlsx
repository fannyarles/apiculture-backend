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way\Desktop\WORK\APICULTURE\CODE\backend\uploads\unaf\"/>
    </mc:Choice>
  </mc:AlternateContent>
  <xr:revisionPtr revIDLastSave="0" documentId="8_{A6405ED3-0ABE-45D4-AAC6-2D42BC6527E7}" xr6:coauthVersionLast="47" xr6:coauthVersionMax="47" xr10:uidLastSave="{00000000-0000-0000-0000-000000000000}"/>
  <bookViews>
    <workbookView xWindow="-28920" yWindow="-120" windowWidth="29040" windowHeight="15720" xr2:uid="{4C958BA2-229F-4A82-8077-AD4F71E1E47C}"/>
  </bookViews>
  <sheets>
    <sheet name="Feuil1" sheetId="1" r:id="rId1"/>
    <sheet name="Feuil2" sheetId="2" r:id="rId2"/>
    <sheet name="Feuil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00" i="1" l="1"/>
  <c r="X300" i="1"/>
  <c r="V299" i="1"/>
  <c r="X299" i="1"/>
  <c r="W299" i="1"/>
  <c r="V298" i="1"/>
  <c r="X298" i="1"/>
  <c r="W298" i="1"/>
  <c r="V297" i="1"/>
  <c r="W297" i="1"/>
  <c r="X297" i="1"/>
  <c r="V296" i="1"/>
  <c r="X296" i="1"/>
  <c r="W296" i="1"/>
  <c r="V295" i="1"/>
  <c r="W295" i="1"/>
  <c r="V294" i="1"/>
  <c r="X294" i="1"/>
  <c r="W294" i="1"/>
  <c r="V293" i="1"/>
  <c r="X293" i="1"/>
  <c r="W293" i="1"/>
  <c r="V292" i="1"/>
  <c r="X292" i="1"/>
  <c r="W292" i="1"/>
  <c r="V291" i="1"/>
  <c r="X291" i="1"/>
  <c r="W291" i="1"/>
  <c r="V290" i="1"/>
  <c r="X290" i="1"/>
  <c r="W290" i="1"/>
  <c r="V289" i="1"/>
  <c r="X289" i="1"/>
  <c r="V288" i="1"/>
  <c r="X288" i="1"/>
  <c r="W288" i="1"/>
  <c r="V287" i="1"/>
  <c r="X287" i="1"/>
  <c r="W287" i="1"/>
  <c r="V286" i="1"/>
  <c r="X286" i="1"/>
  <c r="V285" i="1"/>
  <c r="X285" i="1"/>
  <c r="W285" i="1"/>
  <c r="V284" i="1"/>
  <c r="X284" i="1"/>
  <c r="V283" i="1"/>
  <c r="X283" i="1"/>
  <c r="W283" i="1"/>
  <c r="V282" i="1"/>
  <c r="X282" i="1"/>
  <c r="W282" i="1"/>
  <c r="V281" i="1"/>
  <c r="W281" i="1"/>
  <c r="X281" i="1"/>
  <c r="V280" i="1"/>
  <c r="X280" i="1"/>
  <c r="W280" i="1"/>
  <c r="V279" i="1"/>
  <c r="W279" i="1"/>
  <c r="X279" i="1"/>
  <c r="V278" i="1"/>
  <c r="X278" i="1"/>
  <c r="W278" i="1"/>
  <c r="V277" i="1"/>
  <c r="X277" i="1"/>
  <c r="W277" i="1"/>
  <c r="V276" i="1"/>
  <c r="X276" i="1"/>
  <c r="W276" i="1"/>
  <c r="V275" i="1"/>
  <c r="X275" i="1"/>
  <c r="W275" i="1"/>
  <c r="V274" i="1"/>
  <c r="X274" i="1"/>
  <c r="W274" i="1"/>
  <c r="V273" i="1"/>
  <c r="W273" i="1"/>
  <c r="X273" i="1"/>
  <c r="V272" i="1"/>
  <c r="X272" i="1"/>
  <c r="W272" i="1"/>
  <c r="V271" i="1"/>
  <c r="X271" i="1"/>
  <c r="W271" i="1"/>
  <c r="V270" i="1"/>
  <c r="X270" i="1"/>
  <c r="V269" i="1"/>
  <c r="X269" i="1"/>
  <c r="W269" i="1"/>
  <c r="V268" i="1"/>
  <c r="X268" i="1"/>
  <c r="W268" i="1"/>
  <c r="V267" i="1"/>
  <c r="X267" i="1"/>
  <c r="W267" i="1"/>
  <c r="V266" i="1"/>
  <c r="X266" i="1"/>
  <c r="W266" i="1"/>
  <c r="V265" i="1"/>
  <c r="W265" i="1"/>
  <c r="X265" i="1"/>
  <c r="V264" i="1"/>
  <c r="X264" i="1"/>
  <c r="W264" i="1"/>
  <c r="V263" i="1"/>
  <c r="W263" i="1"/>
  <c r="X263" i="1"/>
  <c r="V262" i="1"/>
  <c r="X262" i="1"/>
  <c r="W262" i="1"/>
  <c r="V261" i="1"/>
  <c r="X261" i="1"/>
  <c r="W261" i="1"/>
  <c r="V260" i="1"/>
  <c r="X260" i="1"/>
  <c r="W260" i="1"/>
  <c r="V259" i="1"/>
  <c r="X259" i="1"/>
  <c r="W259" i="1"/>
  <c r="V258" i="1"/>
  <c r="X258" i="1"/>
  <c r="W258" i="1"/>
  <c r="V257" i="1"/>
  <c r="W257" i="1"/>
  <c r="X257" i="1"/>
  <c r="V256" i="1"/>
  <c r="X256" i="1"/>
  <c r="W256" i="1"/>
  <c r="V255" i="1"/>
  <c r="X255" i="1"/>
  <c r="W255" i="1"/>
  <c r="V254" i="1"/>
  <c r="X254" i="1"/>
  <c r="V253" i="1"/>
  <c r="X253" i="1"/>
  <c r="W253" i="1"/>
  <c r="V252" i="1"/>
  <c r="X252" i="1"/>
  <c r="W252" i="1"/>
  <c r="V251" i="1"/>
  <c r="X251" i="1"/>
  <c r="W251" i="1"/>
  <c r="V250" i="1"/>
  <c r="X250" i="1"/>
  <c r="W250" i="1"/>
  <c r="V249" i="1"/>
  <c r="W249" i="1"/>
  <c r="X249" i="1"/>
  <c r="V248" i="1"/>
  <c r="X248" i="1"/>
  <c r="W248" i="1"/>
  <c r="V247" i="1"/>
  <c r="W247" i="1"/>
  <c r="X247" i="1"/>
  <c r="V246" i="1"/>
  <c r="X246" i="1"/>
  <c r="V245" i="1"/>
  <c r="X245" i="1"/>
  <c r="W245" i="1"/>
  <c r="V244" i="1"/>
  <c r="X244" i="1"/>
  <c r="W244" i="1"/>
  <c r="V243" i="1"/>
  <c r="X243" i="1"/>
  <c r="W243" i="1"/>
  <c r="V242" i="1"/>
  <c r="X242" i="1"/>
  <c r="W242" i="1"/>
  <c r="V241" i="1"/>
  <c r="X241" i="1"/>
  <c r="W241" i="1"/>
  <c r="V240" i="1"/>
  <c r="X240" i="1"/>
  <c r="W240" i="1"/>
  <c r="V239" i="1"/>
  <c r="X239" i="1"/>
  <c r="W239" i="1"/>
  <c r="V238" i="1"/>
  <c r="X238" i="1"/>
  <c r="V237" i="1"/>
  <c r="X237" i="1"/>
  <c r="W237" i="1"/>
  <c r="V236" i="1"/>
  <c r="X236" i="1"/>
  <c r="W236" i="1"/>
  <c r="V235" i="1"/>
  <c r="X235" i="1"/>
  <c r="W235" i="1"/>
  <c r="V234" i="1"/>
  <c r="X234" i="1"/>
  <c r="W234" i="1"/>
  <c r="V233" i="1"/>
  <c r="W233" i="1"/>
  <c r="X233" i="1"/>
  <c r="V232" i="1"/>
  <c r="X232" i="1"/>
  <c r="W232" i="1"/>
  <c r="V231" i="1"/>
  <c r="W231" i="1"/>
  <c r="X231" i="1"/>
  <c r="V230" i="1"/>
  <c r="X230" i="1"/>
  <c r="V229" i="1"/>
  <c r="X229" i="1"/>
  <c r="W229" i="1"/>
  <c r="V228" i="1"/>
  <c r="X228" i="1"/>
  <c r="W228" i="1"/>
  <c r="V227" i="1"/>
  <c r="X227" i="1"/>
  <c r="W227" i="1"/>
  <c r="V226" i="1"/>
  <c r="X226" i="1"/>
  <c r="W226" i="1"/>
  <c r="V225" i="1"/>
  <c r="X225" i="1"/>
  <c r="W225" i="1"/>
  <c r="V224" i="1"/>
  <c r="X224" i="1"/>
  <c r="W224" i="1"/>
  <c r="V223" i="1"/>
  <c r="X223" i="1"/>
  <c r="W223" i="1"/>
  <c r="V222" i="1"/>
  <c r="X222" i="1"/>
  <c r="V221" i="1"/>
  <c r="X221" i="1"/>
  <c r="W221" i="1"/>
  <c r="V220" i="1"/>
  <c r="X220" i="1"/>
  <c r="W220" i="1"/>
  <c r="V219" i="1"/>
  <c r="X219" i="1"/>
  <c r="W219" i="1"/>
  <c r="V218" i="1"/>
  <c r="X218" i="1"/>
  <c r="W218" i="1"/>
  <c r="V217" i="1"/>
  <c r="W217" i="1"/>
  <c r="X217" i="1"/>
  <c r="V216" i="1"/>
  <c r="X216" i="1"/>
  <c r="W216" i="1"/>
  <c r="V215" i="1"/>
  <c r="W215" i="1"/>
  <c r="X215" i="1"/>
  <c r="V214" i="1"/>
  <c r="X214" i="1"/>
  <c r="V213" i="1"/>
  <c r="X213" i="1"/>
  <c r="W213" i="1"/>
  <c r="V212" i="1"/>
  <c r="X212" i="1"/>
  <c r="W212" i="1"/>
  <c r="V211" i="1"/>
  <c r="X211" i="1"/>
  <c r="W211" i="1"/>
  <c r="V210" i="1"/>
  <c r="X210" i="1"/>
  <c r="W210" i="1"/>
  <c r="V209" i="1"/>
  <c r="X209" i="1"/>
  <c r="W209" i="1"/>
  <c r="V208" i="1"/>
  <c r="X208" i="1"/>
  <c r="W208" i="1"/>
  <c r="V207" i="1"/>
  <c r="X207" i="1"/>
  <c r="W207" i="1"/>
  <c r="V206" i="1"/>
  <c r="X206" i="1"/>
  <c r="V205" i="1"/>
  <c r="X205" i="1"/>
  <c r="W205" i="1"/>
  <c r="V204" i="1"/>
  <c r="X204" i="1"/>
  <c r="W204" i="1"/>
  <c r="V203" i="1"/>
  <c r="X203" i="1"/>
  <c r="W203" i="1"/>
  <c r="V202" i="1"/>
  <c r="X202" i="1"/>
  <c r="W202" i="1"/>
  <c r="V201" i="1"/>
  <c r="W201" i="1"/>
  <c r="X201" i="1"/>
  <c r="V200" i="1"/>
  <c r="X200" i="1"/>
  <c r="W200" i="1"/>
  <c r="V199" i="1"/>
  <c r="W199" i="1"/>
  <c r="X199" i="1"/>
  <c r="V198" i="1"/>
  <c r="X198" i="1"/>
  <c r="V197" i="1"/>
  <c r="X197" i="1"/>
  <c r="W197" i="1"/>
  <c r="V196" i="1"/>
  <c r="X196" i="1"/>
  <c r="W196" i="1"/>
  <c r="V195" i="1"/>
  <c r="X195" i="1"/>
  <c r="W195" i="1"/>
  <c r="V194" i="1"/>
  <c r="X194" i="1"/>
  <c r="W194" i="1"/>
  <c r="V193" i="1"/>
  <c r="X193" i="1"/>
  <c r="W193" i="1"/>
  <c r="V192" i="1"/>
  <c r="X192" i="1"/>
  <c r="W192" i="1"/>
  <c r="V191" i="1"/>
  <c r="X191" i="1"/>
  <c r="W191" i="1"/>
  <c r="V190" i="1"/>
  <c r="X190" i="1"/>
  <c r="V189" i="1"/>
  <c r="X189" i="1"/>
  <c r="W189" i="1"/>
  <c r="V188" i="1"/>
  <c r="X188" i="1"/>
  <c r="W188" i="1"/>
  <c r="V187" i="1"/>
  <c r="X187" i="1"/>
  <c r="W187" i="1"/>
  <c r="V186" i="1"/>
  <c r="X186" i="1"/>
  <c r="W186" i="1"/>
  <c r="V185" i="1"/>
  <c r="W185" i="1"/>
  <c r="X185" i="1"/>
  <c r="V184" i="1"/>
  <c r="X184" i="1"/>
  <c r="W184" i="1"/>
  <c r="V183" i="1"/>
  <c r="W183" i="1"/>
  <c r="X183" i="1"/>
  <c r="V182" i="1"/>
  <c r="X182" i="1"/>
  <c r="V181" i="1"/>
  <c r="X181" i="1"/>
  <c r="W181" i="1"/>
  <c r="V180" i="1"/>
  <c r="X180" i="1"/>
  <c r="W180" i="1"/>
  <c r="V179" i="1"/>
  <c r="X179" i="1"/>
  <c r="W179" i="1"/>
  <c r="V178" i="1"/>
  <c r="X178" i="1"/>
  <c r="W178" i="1"/>
  <c r="V177" i="1"/>
  <c r="X177" i="1"/>
  <c r="W177" i="1"/>
  <c r="V176" i="1"/>
  <c r="X176" i="1"/>
  <c r="W176" i="1"/>
  <c r="V175" i="1"/>
  <c r="X175" i="1"/>
  <c r="W175" i="1"/>
  <c r="V174" i="1"/>
  <c r="X174" i="1"/>
  <c r="V173" i="1"/>
  <c r="X173" i="1"/>
  <c r="W173" i="1"/>
  <c r="V172" i="1"/>
  <c r="X172" i="1"/>
  <c r="W172" i="1"/>
  <c r="V171" i="1"/>
  <c r="X171" i="1"/>
  <c r="W171" i="1"/>
  <c r="V170" i="1"/>
  <c r="X170" i="1"/>
  <c r="W170" i="1"/>
  <c r="V169" i="1"/>
  <c r="W169" i="1"/>
  <c r="X169" i="1"/>
  <c r="V168" i="1"/>
  <c r="X168" i="1"/>
  <c r="W168" i="1"/>
  <c r="V167" i="1"/>
  <c r="W167" i="1"/>
  <c r="X167" i="1"/>
  <c r="V166" i="1"/>
  <c r="X166" i="1"/>
  <c r="V165" i="1"/>
  <c r="X165" i="1"/>
  <c r="W165" i="1"/>
  <c r="V164" i="1"/>
  <c r="X164" i="1"/>
  <c r="W164" i="1"/>
  <c r="V163" i="1"/>
  <c r="X163" i="1"/>
  <c r="W163" i="1"/>
  <c r="V162" i="1"/>
  <c r="X162" i="1"/>
  <c r="W162" i="1"/>
  <c r="V161" i="1"/>
  <c r="W161" i="1"/>
  <c r="X161" i="1"/>
  <c r="V160" i="1"/>
  <c r="X160" i="1"/>
  <c r="W160" i="1"/>
  <c r="V159" i="1"/>
  <c r="X159" i="1"/>
  <c r="W159" i="1"/>
  <c r="V158" i="1"/>
  <c r="X158" i="1"/>
  <c r="V157" i="1"/>
  <c r="X157" i="1"/>
  <c r="W157" i="1"/>
  <c r="V156" i="1"/>
  <c r="X156" i="1"/>
  <c r="W156" i="1"/>
  <c r="V155" i="1"/>
  <c r="X155" i="1"/>
  <c r="W155" i="1"/>
  <c r="V154" i="1"/>
  <c r="X154" i="1"/>
  <c r="W154" i="1"/>
  <c r="V153" i="1"/>
  <c r="W153" i="1"/>
  <c r="X153" i="1"/>
  <c r="V152" i="1"/>
  <c r="X152" i="1"/>
  <c r="W152" i="1"/>
  <c r="V151" i="1"/>
  <c r="W151" i="1"/>
  <c r="X151" i="1"/>
  <c r="V150" i="1"/>
  <c r="X150" i="1"/>
  <c r="W150" i="1"/>
  <c r="V149" i="1"/>
  <c r="X149" i="1"/>
  <c r="W149" i="1"/>
  <c r="V148" i="1"/>
  <c r="X148" i="1"/>
  <c r="W148" i="1"/>
  <c r="V147" i="1"/>
  <c r="X147" i="1"/>
  <c r="W147" i="1"/>
  <c r="V146" i="1"/>
  <c r="X146" i="1"/>
  <c r="W146" i="1"/>
  <c r="V145" i="1"/>
  <c r="W145" i="1"/>
  <c r="X145" i="1"/>
  <c r="V144" i="1"/>
  <c r="X144" i="1"/>
  <c r="W144" i="1"/>
  <c r="V143" i="1"/>
  <c r="X143" i="1"/>
  <c r="W143" i="1"/>
  <c r="V142" i="1"/>
  <c r="X142" i="1"/>
  <c r="V141" i="1"/>
  <c r="X141" i="1"/>
  <c r="W141" i="1"/>
  <c r="V140" i="1"/>
  <c r="X140" i="1"/>
  <c r="W140" i="1"/>
  <c r="V139" i="1"/>
  <c r="X139" i="1"/>
  <c r="W139" i="1"/>
  <c r="V138" i="1"/>
  <c r="X138" i="1"/>
  <c r="W138" i="1"/>
  <c r="V137" i="1"/>
  <c r="W137" i="1"/>
  <c r="X137" i="1"/>
  <c r="V136" i="1"/>
  <c r="X136" i="1"/>
  <c r="W136" i="1"/>
  <c r="V135" i="1"/>
  <c r="W135" i="1"/>
  <c r="X135" i="1"/>
  <c r="V134" i="1"/>
  <c r="X134" i="1"/>
  <c r="W134" i="1"/>
  <c r="V133" i="1"/>
  <c r="X133" i="1"/>
  <c r="W133" i="1"/>
  <c r="V132" i="1"/>
  <c r="X132" i="1"/>
  <c r="W132" i="1"/>
  <c r="V131" i="1"/>
  <c r="X131" i="1"/>
  <c r="W131" i="1"/>
  <c r="V130" i="1"/>
  <c r="X130" i="1"/>
  <c r="W130" i="1"/>
  <c r="V129" i="1"/>
  <c r="X129" i="1"/>
  <c r="W129" i="1"/>
  <c r="V128" i="1"/>
  <c r="X128" i="1"/>
  <c r="W128" i="1"/>
  <c r="V127" i="1"/>
  <c r="X127" i="1"/>
  <c r="W127" i="1"/>
  <c r="V126" i="1"/>
  <c r="X126" i="1"/>
  <c r="V125" i="1"/>
  <c r="X125" i="1"/>
  <c r="W125" i="1"/>
  <c r="V124" i="1"/>
  <c r="X124" i="1"/>
  <c r="W124" i="1"/>
  <c r="V123" i="1"/>
  <c r="X123" i="1"/>
  <c r="W123" i="1"/>
  <c r="V122" i="1"/>
  <c r="X122" i="1"/>
  <c r="W122" i="1"/>
  <c r="V121" i="1"/>
  <c r="W121" i="1"/>
  <c r="X121" i="1"/>
  <c r="V120" i="1"/>
  <c r="X120" i="1"/>
  <c r="W120" i="1"/>
  <c r="V119" i="1"/>
  <c r="W119" i="1"/>
  <c r="X119" i="1"/>
  <c r="V118" i="1"/>
  <c r="X118" i="1"/>
  <c r="W118" i="1"/>
  <c r="V117" i="1"/>
  <c r="X117" i="1"/>
  <c r="W117" i="1"/>
  <c r="V116" i="1"/>
  <c r="X116" i="1"/>
  <c r="W116" i="1"/>
  <c r="V115" i="1"/>
  <c r="X115" i="1"/>
  <c r="W115" i="1"/>
  <c r="V114" i="1"/>
  <c r="X114" i="1"/>
  <c r="W114" i="1"/>
  <c r="V113" i="1"/>
  <c r="X113" i="1"/>
  <c r="W113" i="1"/>
  <c r="V112" i="1"/>
  <c r="X112" i="1"/>
  <c r="W112" i="1"/>
  <c r="V111" i="1"/>
  <c r="X111" i="1"/>
  <c r="W111" i="1"/>
  <c r="V110" i="1"/>
  <c r="X110" i="1"/>
  <c r="V109" i="1"/>
  <c r="X109" i="1"/>
  <c r="W109" i="1"/>
  <c r="V108" i="1"/>
  <c r="X108" i="1"/>
  <c r="W108" i="1"/>
  <c r="V107" i="1"/>
  <c r="X107" i="1"/>
  <c r="W107" i="1"/>
  <c r="V106" i="1"/>
  <c r="X106" i="1"/>
  <c r="W106" i="1"/>
  <c r="V105" i="1"/>
  <c r="W105" i="1"/>
  <c r="X105" i="1"/>
  <c r="V104" i="1"/>
  <c r="X104" i="1"/>
  <c r="W104" i="1"/>
  <c r="V103" i="1"/>
  <c r="W103" i="1"/>
  <c r="X103" i="1"/>
  <c r="V102" i="1"/>
  <c r="X102" i="1"/>
  <c r="W102" i="1"/>
  <c r="V101" i="1"/>
  <c r="X101" i="1"/>
  <c r="W101" i="1"/>
  <c r="V100" i="1"/>
  <c r="X100" i="1"/>
  <c r="W100" i="1"/>
  <c r="V99" i="1"/>
  <c r="X99" i="1"/>
  <c r="W99" i="1"/>
  <c r="V98" i="1"/>
  <c r="X98" i="1"/>
  <c r="W98" i="1"/>
  <c r="V97" i="1"/>
  <c r="X97" i="1"/>
  <c r="W97" i="1"/>
  <c r="V96" i="1"/>
  <c r="X96" i="1"/>
  <c r="W96" i="1"/>
  <c r="V95" i="1"/>
  <c r="X95" i="1"/>
  <c r="W95" i="1"/>
  <c r="V94" i="1"/>
  <c r="X94" i="1"/>
  <c r="V93" i="1"/>
  <c r="X93" i="1"/>
  <c r="W93" i="1"/>
  <c r="V92" i="1"/>
  <c r="X92" i="1"/>
  <c r="W92" i="1"/>
  <c r="V91" i="1"/>
  <c r="X91" i="1"/>
  <c r="W91" i="1"/>
  <c r="V90" i="1"/>
  <c r="X90" i="1"/>
  <c r="W90" i="1"/>
  <c r="V89" i="1"/>
  <c r="W89" i="1"/>
  <c r="X89" i="1"/>
  <c r="V88" i="1"/>
  <c r="X88" i="1"/>
  <c r="W88" i="1"/>
  <c r="V87" i="1"/>
  <c r="W87" i="1"/>
  <c r="X87" i="1"/>
  <c r="V86" i="1"/>
  <c r="X86" i="1"/>
  <c r="W86" i="1"/>
  <c r="V85" i="1"/>
  <c r="X85" i="1"/>
  <c r="W85" i="1"/>
  <c r="V84" i="1"/>
  <c r="X84" i="1"/>
  <c r="W84" i="1"/>
  <c r="V83" i="1"/>
  <c r="X83" i="1"/>
  <c r="W83" i="1"/>
  <c r="V82" i="1"/>
  <c r="X82" i="1"/>
  <c r="W82" i="1"/>
  <c r="V81" i="1"/>
  <c r="X81" i="1"/>
  <c r="W81" i="1"/>
  <c r="V80" i="1"/>
  <c r="X80" i="1"/>
  <c r="W80" i="1"/>
  <c r="V79" i="1"/>
  <c r="X79" i="1"/>
  <c r="W79" i="1"/>
  <c r="V78" i="1"/>
  <c r="X78" i="1"/>
  <c r="V77" i="1"/>
  <c r="X77" i="1"/>
  <c r="W77" i="1"/>
  <c r="V76" i="1"/>
  <c r="X76" i="1"/>
  <c r="W76" i="1"/>
  <c r="V75" i="1"/>
  <c r="X75" i="1"/>
  <c r="W75" i="1"/>
  <c r="V74" i="1"/>
  <c r="X74" i="1"/>
  <c r="W74" i="1"/>
  <c r="V73" i="1"/>
  <c r="W73" i="1"/>
  <c r="X73" i="1"/>
  <c r="V72" i="1"/>
  <c r="X72" i="1"/>
  <c r="W72" i="1"/>
  <c r="V71" i="1"/>
  <c r="W71" i="1"/>
  <c r="X71" i="1"/>
  <c r="V70" i="1"/>
  <c r="X70" i="1"/>
  <c r="W70" i="1"/>
  <c r="V69" i="1"/>
  <c r="X69" i="1"/>
  <c r="W69" i="1"/>
  <c r="V68" i="1"/>
  <c r="X68" i="1"/>
  <c r="W68" i="1"/>
  <c r="V67" i="1"/>
  <c r="X67" i="1"/>
  <c r="W67" i="1"/>
  <c r="V66" i="1"/>
  <c r="X66" i="1"/>
  <c r="W66" i="1"/>
  <c r="V65" i="1"/>
  <c r="X65" i="1"/>
  <c r="W65" i="1"/>
  <c r="V64" i="1"/>
  <c r="X64" i="1"/>
  <c r="W64" i="1"/>
  <c r="V63" i="1"/>
  <c r="X63" i="1"/>
  <c r="W63" i="1"/>
  <c r="V62" i="1"/>
  <c r="X62" i="1"/>
  <c r="V61" i="1"/>
  <c r="X61" i="1"/>
  <c r="W61" i="1"/>
  <c r="V60" i="1"/>
  <c r="X60" i="1"/>
  <c r="W60" i="1"/>
  <c r="V59" i="1"/>
  <c r="X59" i="1"/>
  <c r="W59" i="1"/>
  <c r="V58" i="1"/>
  <c r="X58" i="1"/>
  <c r="W58" i="1"/>
  <c r="V57" i="1"/>
  <c r="W57" i="1"/>
  <c r="X57" i="1"/>
  <c r="V56" i="1"/>
  <c r="X56" i="1"/>
  <c r="W56" i="1"/>
  <c r="V55" i="1"/>
  <c r="W55" i="1"/>
  <c r="X55" i="1"/>
  <c r="V54" i="1"/>
  <c r="X54" i="1"/>
  <c r="W54" i="1"/>
  <c r="V53" i="1"/>
  <c r="X53" i="1"/>
  <c r="W53" i="1"/>
  <c r="V52" i="1"/>
  <c r="X52" i="1"/>
  <c r="W52" i="1"/>
  <c r="V51" i="1"/>
  <c r="X51" i="1"/>
  <c r="W51" i="1"/>
  <c r="V50" i="1"/>
  <c r="X50" i="1"/>
  <c r="W50" i="1"/>
  <c r="V49" i="1"/>
  <c r="X49" i="1"/>
  <c r="W49" i="1"/>
  <c r="V48" i="1"/>
  <c r="X48" i="1"/>
  <c r="W48" i="1"/>
  <c r="V47" i="1"/>
  <c r="X47" i="1"/>
  <c r="W47" i="1"/>
  <c r="V46" i="1"/>
  <c r="X46" i="1"/>
  <c r="V45" i="1"/>
  <c r="X45" i="1"/>
  <c r="W45" i="1"/>
  <c r="V44" i="1"/>
  <c r="X44" i="1"/>
  <c r="W44" i="1"/>
  <c r="V43" i="1"/>
  <c r="X43" i="1"/>
  <c r="W43" i="1"/>
  <c r="V42" i="1"/>
  <c r="X42" i="1"/>
  <c r="W42" i="1"/>
  <c r="V41" i="1"/>
  <c r="W41" i="1"/>
  <c r="X41" i="1"/>
  <c r="V40" i="1"/>
  <c r="X40" i="1"/>
  <c r="W40" i="1"/>
  <c r="V39" i="1"/>
  <c r="W39" i="1"/>
  <c r="X39" i="1"/>
  <c r="V38" i="1"/>
  <c r="X38" i="1"/>
  <c r="W38" i="1"/>
  <c r="V37" i="1"/>
  <c r="X37" i="1"/>
  <c r="W37" i="1"/>
  <c r="V36" i="1"/>
  <c r="X36" i="1"/>
  <c r="W36" i="1"/>
  <c r="V35" i="1"/>
  <c r="X35" i="1"/>
  <c r="W35" i="1"/>
  <c r="V34" i="1"/>
  <c r="X34" i="1"/>
  <c r="W34" i="1"/>
  <c r="V33" i="1"/>
  <c r="X33" i="1"/>
  <c r="W33" i="1"/>
  <c r="V32" i="1"/>
  <c r="X32" i="1"/>
  <c r="W32" i="1"/>
  <c r="V31" i="1"/>
  <c r="X31" i="1"/>
  <c r="W31" i="1"/>
  <c r="V30" i="1"/>
  <c r="X30" i="1"/>
  <c r="V29" i="1"/>
  <c r="X29" i="1"/>
  <c r="W29" i="1"/>
  <c r="V28" i="1"/>
  <c r="X28" i="1"/>
  <c r="W28" i="1"/>
  <c r="V27" i="1"/>
  <c r="X27" i="1"/>
  <c r="W27" i="1"/>
  <c r="V26" i="1"/>
  <c r="X26" i="1"/>
  <c r="W26" i="1"/>
  <c r="AA15" i="1"/>
  <c r="AB15" i="1"/>
  <c r="AA16" i="1"/>
  <c r="AB16" i="1"/>
  <c r="AA17" i="1"/>
  <c r="AB17" i="1"/>
  <c r="AA18" i="1"/>
  <c r="AB18" i="1"/>
  <c r="AA19" i="1"/>
  <c r="AB19" i="1"/>
  <c r="AA20" i="1"/>
  <c r="AB20" i="1"/>
  <c r="AA21" i="1"/>
  <c r="AB21" i="1"/>
  <c r="V3" i="1"/>
  <c r="X3" i="1"/>
  <c r="W3" i="1"/>
  <c r="V4" i="1"/>
  <c r="X4" i="1"/>
  <c r="W4" i="1"/>
  <c r="V5" i="1"/>
  <c r="W5" i="1"/>
  <c r="V6" i="1"/>
  <c r="W6" i="1"/>
  <c r="V7" i="1"/>
  <c r="X7" i="1"/>
  <c r="W7" i="1"/>
  <c r="V8" i="1"/>
  <c r="X8" i="1"/>
  <c r="W8" i="1"/>
  <c r="V9" i="1"/>
  <c r="X9" i="1"/>
  <c r="W9" i="1"/>
  <c r="V10" i="1"/>
  <c r="X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X18" i="1"/>
  <c r="W18" i="1"/>
  <c r="V19" i="1"/>
  <c r="X19" i="1"/>
  <c r="W19" i="1"/>
  <c r="V20" i="1"/>
  <c r="X20" i="1"/>
  <c r="W20" i="1"/>
  <c r="V21" i="1"/>
  <c r="W21" i="1"/>
  <c r="V22" i="1"/>
  <c r="W22" i="1"/>
  <c r="V23" i="1"/>
  <c r="X23" i="1"/>
  <c r="W23" i="1"/>
  <c r="V24" i="1"/>
  <c r="X24" i="1"/>
  <c r="W24" i="1"/>
  <c r="V25" i="1"/>
  <c r="X25" i="1"/>
  <c r="W25" i="1"/>
  <c r="AA23" i="1"/>
  <c r="AB23" i="1"/>
  <c r="AA24" i="1"/>
  <c r="AB24" i="1"/>
  <c r="X22" i="1"/>
  <c r="X21" i="1"/>
  <c r="X17" i="1"/>
  <c r="X16" i="1"/>
  <c r="X15" i="1"/>
  <c r="X14" i="1"/>
  <c r="X13" i="1"/>
  <c r="X12" i="1"/>
  <c r="X11" i="1"/>
  <c r="X6" i="1"/>
  <c r="X5" i="1"/>
  <c r="X295" i="1"/>
  <c r="W30" i="1"/>
  <c r="AA22" i="1"/>
  <c r="AB22" i="1"/>
  <c r="AB25" i="1"/>
  <c r="W46" i="1"/>
  <c r="W62" i="1"/>
  <c r="W78" i="1"/>
  <c r="W94" i="1"/>
  <c r="W110" i="1"/>
  <c r="W126" i="1"/>
  <c r="W142" i="1"/>
  <c r="W158" i="1"/>
  <c r="W174" i="1"/>
  <c r="W190" i="1"/>
  <c r="W206" i="1"/>
  <c r="W222" i="1"/>
  <c r="W238" i="1"/>
  <c r="W254" i="1"/>
  <c r="W270" i="1"/>
  <c r="W286" i="1"/>
  <c r="W166" i="1"/>
  <c r="W182" i="1"/>
  <c r="W198" i="1"/>
  <c r="W214" i="1"/>
  <c r="W230" i="1"/>
  <c r="W246" i="1"/>
  <c r="W289" i="1"/>
  <c r="W284" i="1"/>
  <c r="W300" i="1"/>
</calcChain>
</file>

<file path=xl/sharedStrings.xml><?xml version="1.0" encoding="utf-8"?>
<sst xmlns="http://schemas.openxmlformats.org/spreadsheetml/2006/main" count="71" uniqueCount="47">
  <si>
    <t xml:space="preserve">Nom </t>
  </si>
  <si>
    <t>Prénom</t>
  </si>
  <si>
    <t xml:space="preserve">Adresse </t>
  </si>
  <si>
    <t>Adresse 2</t>
  </si>
  <si>
    <t>Complément d'adresse</t>
  </si>
  <si>
    <t>Code 
Postal</t>
  </si>
  <si>
    <t>Ville</t>
  </si>
  <si>
    <t>Pays</t>
  </si>
  <si>
    <t>Email</t>
  </si>
  <si>
    <t>Téléphone 
fixe</t>
  </si>
  <si>
    <t>Téléphone 
mobile</t>
  </si>
  <si>
    <r>
      <t xml:space="preserve">N° SIRET
</t>
    </r>
    <r>
      <rPr>
        <b/>
        <sz val="9"/>
        <color indexed="10"/>
        <rFont val="Calibri"/>
        <family val="2"/>
      </rPr>
      <t>(Si vous n'en avez pas, remplissez avec "0")</t>
    </r>
  </si>
  <si>
    <t>Nombre de ruches</t>
  </si>
  <si>
    <t>Cotisation individuelle</t>
  </si>
  <si>
    <t>Revue papier</t>
  </si>
  <si>
    <t>Revue numérique</t>
  </si>
  <si>
    <t>Revue papier &amp; numérique</t>
  </si>
  <si>
    <t>Assurance Formule 1</t>
  </si>
  <si>
    <t>Assurance Formule 2</t>
  </si>
  <si>
    <t>Assurance Formule 3</t>
  </si>
  <si>
    <t>Cotisation pour Affaires Juridiques </t>
  </si>
  <si>
    <t>Eco Contribution</t>
  </si>
  <si>
    <t>Nombre éco
contribution</t>
  </si>
  <si>
    <t>Total 
par adhérent</t>
  </si>
  <si>
    <t>Nom de la structure</t>
  </si>
  <si>
    <t>Les deux champs sont obligatoires</t>
  </si>
  <si>
    <t>Vous devez remplir cette case pour souscrire à l'éco-contribution</t>
  </si>
  <si>
    <t>Veuillez remplir les champs roses avec "1" pour OUI 
ou laisser les cases vides pour NON</t>
  </si>
  <si>
    <t>se remplit automatiquement</t>
  </si>
  <si>
    <t>Date du listing</t>
  </si>
  <si>
    <t>Mode de règlement</t>
  </si>
  <si>
    <t>Cotisation syndicale</t>
  </si>
  <si>
    <r>
      <rPr>
        <b/>
        <sz val="11"/>
        <rFont val="Calibri"/>
        <family val="2"/>
      </rPr>
      <t xml:space="preserve">Commentaires </t>
    </r>
    <r>
      <rPr>
        <sz val="11"/>
        <rFont val="Calibri"/>
        <family val="2"/>
      </rPr>
      <t xml:space="preserve">
(factures, attestations, avoirs, compléments)</t>
    </r>
  </si>
  <si>
    <r>
      <t xml:space="preserve">Détails des Totaux
</t>
    </r>
    <r>
      <rPr>
        <sz val="9"/>
        <color indexed="8"/>
        <rFont val="Calibri"/>
        <family val="2"/>
      </rPr>
      <t>Calculs automatiques</t>
    </r>
  </si>
  <si>
    <t>Nombre</t>
  </si>
  <si>
    <t>Prix</t>
  </si>
  <si>
    <t>Total du listing</t>
  </si>
  <si>
    <t>Tarifs 2026</t>
  </si>
  <si>
    <t>Cotisation UNAF</t>
  </si>
  <si>
    <t>Revues papier</t>
  </si>
  <si>
    <t>par ruche</t>
  </si>
  <si>
    <t>Avertissements</t>
  </si>
  <si>
    <t>Les champs des assurances, de l'éco-contribution et des actes juridiques doivent  rester vides pour les adhérents n'ayant aucune ruche</t>
  </si>
  <si>
    <t>Chaque adhérent ne peut souscrire qu'à 
une seule formule d'assurance dans l'année</t>
  </si>
  <si>
    <t>Si certains adhérents ont des mises à jour au cours de l'année, vous devez réaliser deux listings et deux règlements : un listing structure et un listing mise à jour</t>
  </si>
  <si>
    <t>La colonne de l'éco-contribution se remplit automatiquement quand vous rentrez le numéro de SIRET des adhérents souhaitant la régler</t>
  </si>
  <si>
    <t>SYNDICAT APICOLE DE LA REUNION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</si>
</sst>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6" formatCode="00000"/>
    <numFmt numFmtId="167" formatCode="0#&quot; &quot;##&quot; &quot;##&quot; &quot;##&quot; &quot;##"/>
    <numFmt numFmtId="168" formatCode="#,##0\ _€"/>
    <numFmt numFmtId="169" formatCode="#,##0.00\ &quot;€&quot;"/>
    <numFmt numFmtId="170" formatCode="#,##0.000\ &quot;€&quot;"/>
  </numFmts>
  <fonts count="16" x14ac:knownFonts="1">
    <font>
      <sz val="10"/>
      <name val="Arial"/>
    </font>
    <font>
      <sz val="10"/>
      <name val="Arial"/>
    </font>
    <font>
      <b/>
      <sz val="11"/>
      <color indexed="8"/>
      <name val="Calibri"/>
      <family val="2"/>
    </font>
    <font>
      <b/>
      <sz val="9"/>
      <color indexed="10"/>
      <name val="Calibri"/>
      <family val="2"/>
    </font>
    <font>
      <b/>
      <sz val="11"/>
      <name val="Calibri"/>
      <family val="2"/>
    </font>
    <font>
      <b/>
      <sz val="11"/>
      <color indexed="10"/>
      <name val="Calibri"/>
      <family val="2"/>
    </font>
    <font>
      <sz val="9"/>
      <color indexed="8"/>
      <name val="Calibri"/>
      <family val="2"/>
    </font>
    <font>
      <sz val="12"/>
      <name val="Calibri"/>
      <family val="2"/>
    </font>
    <font>
      <sz val="11"/>
      <name val="Calibri"/>
      <family val="2"/>
    </font>
    <font>
      <u/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sz val="11"/>
      <name val="Arial"/>
      <family val="2"/>
    </font>
    <font>
      <u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 style="medium">
        <color indexed="17"/>
      </right>
      <top/>
      <bottom style="thin">
        <color indexed="17"/>
      </bottom>
      <diagonal/>
    </border>
    <border>
      <left/>
      <right style="medium">
        <color indexed="17"/>
      </right>
      <top style="thin">
        <color indexed="17"/>
      </top>
      <bottom/>
      <diagonal/>
    </border>
    <border>
      <left style="medium">
        <color indexed="17"/>
      </left>
      <right style="thin">
        <color indexed="17"/>
      </right>
      <top style="thin">
        <color indexed="17"/>
      </top>
      <bottom style="medium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17"/>
      </left>
      <right/>
      <top style="medium">
        <color indexed="17"/>
      </top>
      <bottom style="thin">
        <color indexed="17"/>
      </bottom>
      <diagonal/>
    </border>
    <border>
      <left/>
      <right/>
      <top style="medium">
        <color indexed="17"/>
      </top>
      <bottom style="thin">
        <color indexed="17"/>
      </bottom>
      <diagonal/>
    </border>
    <border>
      <left/>
      <right style="medium">
        <color indexed="17"/>
      </right>
      <top style="medium">
        <color indexed="17"/>
      </top>
      <bottom style="thin">
        <color indexed="17"/>
      </bottom>
      <diagonal/>
    </border>
    <border>
      <left/>
      <right style="medium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medium">
        <color indexed="17"/>
      </bottom>
      <diagonal/>
    </border>
    <border>
      <left/>
      <right style="medium">
        <color indexed="17"/>
      </right>
      <top style="thin">
        <color indexed="17"/>
      </top>
      <bottom style="medium">
        <color indexed="17"/>
      </bottom>
      <diagonal/>
    </border>
    <border>
      <left style="medium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medium">
        <color indexed="10"/>
      </right>
      <top style="thin">
        <color indexed="10"/>
      </top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medium">
        <color indexed="10"/>
      </right>
      <top style="thin">
        <color indexed="10"/>
      </top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44" fontId="1" fillId="0" borderId="0" applyFont="0" applyFill="0" applyBorder="0" applyAlignment="0" applyProtection="0"/>
  </cellStyleXfs>
  <cellXfs count="18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6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7" fontId="2" fillId="2" borderId="3" xfId="0" applyNumberFormat="1" applyFont="1" applyFill="1" applyBorder="1" applyAlignment="1">
      <alignment horizontal="center" vertical="center" wrapText="1"/>
    </xf>
    <xf numFmtId="167" fontId="2" fillId="2" borderId="4" xfId="0" applyNumberFormat="1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68" fontId="2" fillId="4" borderId="1" xfId="0" applyNumberFormat="1" applyFont="1" applyFill="1" applyBorder="1" applyAlignment="1">
      <alignment horizontal="center" vertical="center" wrapText="1"/>
    </xf>
    <xf numFmtId="168" fontId="2" fillId="4" borderId="6" xfId="0" applyNumberFormat="1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2" fillId="5" borderId="3" xfId="0" applyNumberFormat="1" applyFont="1" applyFill="1" applyBorder="1" applyAlignment="1">
      <alignment horizontal="center" wrapText="1"/>
    </xf>
    <xf numFmtId="169" fontId="2" fillId="5" borderId="3" xfId="0" applyNumberFormat="1" applyFont="1" applyFill="1" applyBorder="1" applyAlignment="1">
      <alignment horizontal="center" wrapText="1"/>
    </xf>
    <xf numFmtId="16" fontId="0" fillId="0" borderId="0" xfId="0" applyNumberFormat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166" fontId="2" fillId="2" borderId="7" xfId="0" applyNumberFormat="1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167" fontId="2" fillId="2" borderId="7" xfId="0" applyNumberFormat="1" applyFont="1" applyFill="1" applyBorder="1" applyAlignment="1">
      <alignment horizontal="left" vertical="center" wrapText="1"/>
    </xf>
    <xf numFmtId="167" fontId="2" fillId="2" borderId="8" xfId="0" applyNumberFormat="1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  <xf numFmtId="0" fontId="2" fillId="3" borderId="7" xfId="0" applyFont="1" applyFill="1" applyBorder="1" applyAlignment="1">
      <alignment horizontal="center" vertical="center" wrapText="1"/>
    </xf>
    <xf numFmtId="1" fontId="6" fillId="5" borderId="7" xfId="0" applyNumberFormat="1" applyFont="1" applyFill="1" applyBorder="1" applyAlignment="1">
      <alignment horizontal="center" vertical="top" wrapText="1"/>
    </xf>
    <xf numFmtId="169" fontId="6" fillId="5" borderId="7" xfId="0" applyNumberFormat="1" applyFont="1" applyFill="1" applyBorder="1" applyAlignment="1">
      <alignment horizontal="center" vertical="top" wrapText="1"/>
    </xf>
    <xf numFmtId="0" fontId="7" fillId="0" borderId="10" xfId="0" applyFont="1" applyBorder="1" applyAlignment="1" applyProtection="1">
      <alignment horizontal="left" vertical="center" wrapText="1"/>
      <protection locked="0"/>
    </xf>
    <xf numFmtId="0" fontId="7" fillId="0" borderId="11" xfId="0" applyFont="1" applyBorder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166" fontId="8" fillId="0" borderId="11" xfId="0" applyNumberFormat="1" applyFont="1" applyBorder="1" applyAlignment="1" applyProtection="1">
      <alignment horizontal="left" vertical="center" wrapText="1"/>
      <protection locked="0"/>
    </xf>
    <xf numFmtId="0" fontId="7" fillId="0" borderId="12" xfId="0" applyFont="1" applyBorder="1" applyAlignment="1" applyProtection="1">
      <alignment horizontal="left" vertical="center" wrapText="1"/>
      <protection locked="0"/>
    </xf>
    <xf numFmtId="167" fontId="8" fillId="0" borderId="11" xfId="0" applyNumberFormat="1" applyFont="1" applyBorder="1" applyAlignment="1" applyProtection="1">
      <alignment horizontal="left" vertical="center" wrapText="1"/>
      <protection locked="0"/>
    </xf>
    <xf numFmtId="167" fontId="8" fillId="0" borderId="12" xfId="0" applyNumberFormat="1" applyFont="1" applyBorder="1" applyAlignment="1" applyProtection="1">
      <alignment horizontal="left" vertical="center" wrapText="1"/>
      <protection locked="0"/>
    </xf>
    <xf numFmtId="1" fontId="8" fillId="0" borderId="13" xfId="0" applyNumberFormat="1" applyFont="1" applyBorder="1" applyAlignment="1" applyProtection="1">
      <alignment horizontal="left" vertical="center" wrapText="1"/>
      <protection locked="0"/>
    </xf>
    <xf numFmtId="0" fontId="8" fillId="6" borderId="14" xfId="0" applyFont="1" applyFill="1" applyBorder="1" applyAlignment="1" applyProtection="1">
      <alignment horizontal="center" vertical="center" wrapText="1"/>
      <protection locked="0"/>
    </xf>
    <xf numFmtId="1" fontId="8" fillId="7" borderId="10" xfId="0" applyNumberFormat="1" applyFont="1" applyFill="1" applyBorder="1" applyAlignment="1" applyProtection="1">
      <alignment horizontal="center" vertical="center" wrapText="1"/>
      <protection locked="0"/>
    </xf>
    <xf numFmtId="168" fontId="8" fillId="7" borderId="11" xfId="0" applyNumberFormat="1" applyFont="1" applyFill="1" applyBorder="1" applyAlignment="1" applyProtection="1">
      <alignment horizontal="center" vertical="center" wrapText="1"/>
      <protection locked="0"/>
    </xf>
    <xf numFmtId="1" fontId="8" fillId="7" borderId="11" xfId="0" applyNumberFormat="1" applyFont="1" applyFill="1" applyBorder="1" applyAlignment="1" applyProtection="1">
      <alignment horizontal="center" vertical="center" wrapText="1"/>
      <protection locked="0"/>
    </xf>
    <xf numFmtId="1" fontId="8" fillId="7" borderId="12" xfId="0" applyNumberFormat="1" applyFont="1" applyFill="1" applyBorder="1" applyAlignment="1" applyProtection="1">
      <alignment horizontal="center" vertical="center" wrapText="1"/>
      <protection locked="0"/>
    </xf>
    <xf numFmtId="1" fontId="8" fillId="8" borderId="15" xfId="0" applyNumberFormat="1" applyFont="1" applyFill="1" applyBorder="1" applyAlignment="1">
      <alignment horizontal="center" vertical="center" wrapText="1"/>
    </xf>
    <xf numFmtId="1" fontId="8" fillId="8" borderId="16" xfId="0" applyNumberFormat="1" applyFont="1" applyFill="1" applyBorder="1" applyAlignment="1">
      <alignment horizontal="center" vertical="center" wrapText="1"/>
    </xf>
    <xf numFmtId="169" fontId="8" fillId="8" borderId="17" xfId="0" applyNumberFormat="1" applyFont="1" applyFill="1" applyBorder="1" applyAlignment="1">
      <alignment horizontal="center" vertical="center" wrapText="1"/>
    </xf>
    <xf numFmtId="0" fontId="7" fillId="0" borderId="18" xfId="0" applyFont="1" applyBorder="1" applyAlignment="1" applyProtection="1">
      <alignment horizontal="left" vertical="center" wrapText="1"/>
      <protection locked="0"/>
    </xf>
    <xf numFmtId="0" fontId="7" fillId="0" borderId="19" xfId="0" applyFont="1" applyBorder="1" applyAlignment="1" applyProtection="1">
      <alignment horizontal="left" vertical="center" wrapText="1"/>
      <protection locked="0"/>
    </xf>
    <xf numFmtId="0" fontId="8" fillId="0" borderId="19" xfId="0" applyFont="1" applyBorder="1" applyAlignment="1" applyProtection="1">
      <alignment horizontal="left" vertical="center" wrapText="1"/>
      <protection locked="0"/>
    </xf>
    <xf numFmtId="166" fontId="8" fillId="0" borderId="19" xfId="0" applyNumberFormat="1" applyFont="1" applyBorder="1" applyAlignment="1" applyProtection="1">
      <alignment horizontal="left" vertical="center" wrapText="1"/>
      <protection locked="0"/>
    </xf>
    <xf numFmtId="0" fontId="8" fillId="0" borderId="15" xfId="0" applyFont="1" applyBorder="1" applyAlignment="1" applyProtection="1">
      <alignment horizontal="left" vertical="center" wrapText="1"/>
      <protection locked="0"/>
    </xf>
    <xf numFmtId="0" fontId="7" fillId="0" borderId="20" xfId="0" applyFont="1" applyBorder="1" applyAlignment="1" applyProtection="1">
      <alignment horizontal="left" vertical="center" wrapText="1"/>
      <protection locked="0"/>
    </xf>
    <xf numFmtId="167" fontId="8" fillId="0" borderId="15" xfId="0" applyNumberFormat="1" applyFont="1" applyBorder="1" applyAlignment="1" applyProtection="1">
      <alignment horizontal="left" vertical="center" wrapText="1"/>
      <protection locked="0"/>
    </xf>
    <xf numFmtId="167" fontId="8" fillId="0" borderId="20" xfId="0" applyNumberFormat="1" applyFont="1" applyBorder="1" applyAlignment="1" applyProtection="1">
      <alignment horizontal="left" vertical="center" wrapText="1"/>
      <protection locked="0"/>
    </xf>
    <xf numFmtId="1" fontId="8" fillId="0" borderId="19" xfId="0" applyNumberFormat="1" applyFont="1" applyBorder="1" applyAlignment="1" applyProtection="1">
      <alignment horizontal="left" vertical="center" wrapText="1"/>
      <protection locked="0"/>
    </xf>
    <xf numFmtId="0" fontId="8" fillId="6" borderId="21" xfId="0" applyFont="1" applyFill="1" applyBorder="1" applyAlignment="1" applyProtection="1">
      <alignment horizontal="center" vertical="center" wrapText="1"/>
      <protection locked="0"/>
    </xf>
    <xf numFmtId="1" fontId="8" fillId="7" borderId="18" xfId="0" applyNumberFormat="1" applyFont="1" applyFill="1" applyBorder="1" applyAlignment="1" applyProtection="1">
      <alignment horizontal="center" vertical="center" wrapText="1"/>
      <protection locked="0"/>
    </xf>
    <xf numFmtId="168" fontId="8" fillId="7" borderId="19" xfId="0" applyNumberFormat="1" applyFont="1" applyFill="1" applyBorder="1" applyAlignment="1" applyProtection="1">
      <alignment horizontal="center" vertical="center" wrapText="1"/>
      <protection locked="0"/>
    </xf>
    <xf numFmtId="1" fontId="8" fillId="7" borderId="19" xfId="0" applyNumberFormat="1" applyFont="1" applyFill="1" applyBorder="1" applyAlignment="1" applyProtection="1">
      <alignment horizontal="center" vertical="center" wrapText="1"/>
      <protection locked="0"/>
    </xf>
    <xf numFmtId="1" fontId="8" fillId="7" borderId="15" xfId="0" applyNumberFormat="1" applyFont="1" applyFill="1" applyBorder="1" applyAlignment="1" applyProtection="1">
      <alignment horizontal="center" vertical="center" wrapText="1"/>
      <protection locked="0"/>
    </xf>
    <xf numFmtId="1" fontId="8" fillId="7" borderId="20" xfId="0" applyNumberFormat="1" applyFont="1" applyFill="1" applyBorder="1" applyAlignment="1" applyProtection="1">
      <alignment horizontal="center" vertical="center" wrapText="1"/>
      <protection locked="0"/>
    </xf>
    <xf numFmtId="1" fontId="8" fillId="8" borderId="2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18" xfId="0" applyFont="1" applyBorder="1" applyAlignment="1" applyProtection="1">
      <alignment horizontal="left" vertical="center" wrapText="1"/>
      <protection locked="0"/>
    </xf>
    <xf numFmtId="0" fontId="9" fillId="0" borderId="20" xfId="1" applyFont="1" applyFill="1" applyBorder="1" applyAlignment="1" applyProtection="1">
      <alignment horizontal="left" vertical="center" wrapText="1"/>
      <protection locked="0"/>
    </xf>
    <xf numFmtId="0" fontId="8" fillId="7" borderId="19" xfId="0" applyFont="1" applyFill="1" applyBorder="1" applyAlignment="1" applyProtection="1">
      <alignment horizontal="center" vertical="center"/>
      <protection locked="0"/>
    </xf>
    <xf numFmtId="0" fontId="0" fillId="2" borderId="10" xfId="0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8" fillId="6" borderId="21" xfId="0" applyFont="1" applyFill="1" applyBorder="1" applyAlignment="1" applyProtection="1">
      <alignment horizontal="center" vertical="center"/>
      <protection locked="0"/>
    </xf>
    <xf numFmtId="1" fontId="2" fillId="5" borderId="4" xfId="0" applyNumberFormat="1" applyFont="1" applyFill="1" applyBorder="1" applyAlignment="1">
      <alignment horizontal="center" vertical="center" wrapText="1"/>
    </xf>
    <xf numFmtId="1" fontId="2" fillId="5" borderId="11" xfId="0" applyNumberFormat="1" applyFont="1" applyFill="1" applyBorder="1" applyAlignment="1">
      <alignment horizontal="center" vertical="center" wrapText="1"/>
    </xf>
    <xf numFmtId="1" fontId="2" fillId="5" borderId="25" xfId="0" applyNumberFormat="1" applyFont="1" applyFill="1" applyBorder="1" applyAlignment="1">
      <alignment horizontal="center" vertical="center" wrapText="1"/>
    </xf>
    <xf numFmtId="1" fontId="2" fillId="5" borderId="18" xfId="0" applyNumberFormat="1" applyFont="1" applyFill="1" applyBorder="1" applyAlignment="1">
      <alignment horizontal="left" vertical="center" wrapText="1"/>
    </xf>
    <xf numFmtId="169" fontId="8" fillId="8" borderId="16" xfId="0" applyNumberFormat="1" applyFont="1" applyFill="1" applyBorder="1" applyAlignment="1">
      <alignment horizontal="center" vertical="center" wrapText="1"/>
    </xf>
    <xf numFmtId="168" fontId="2" fillId="5" borderId="18" xfId="0" applyNumberFormat="1" applyFont="1" applyFill="1" applyBorder="1" applyAlignment="1">
      <alignment horizontal="left" vertical="center" wrapText="1"/>
    </xf>
    <xf numFmtId="1" fontId="8" fillId="8" borderId="19" xfId="0" applyNumberFormat="1" applyFont="1" applyFill="1" applyBorder="1" applyAlignment="1">
      <alignment horizontal="center" vertical="center" wrapText="1"/>
    </xf>
    <xf numFmtId="169" fontId="8" fillId="8" borderId="22" xfId="0" applyNumberFormat="1" applyFont="1" applyFill="1" applyBorder="1" applyAlignment="1">
      <alignment horizontal="center" vertical="center" wrapText="1"/>
    </xf>
    <xf numFmtId="169" fontId="2" fillId="5" borderId="26" xfId="0" applyNumberFormat="1" applyFont="1" applyFill="1" applyBorder="1" applyAlignment="1">
      <alignment horizontal="left" vertical="center" wrapText="1"/>
    </xf>
    <xf numFmtId="0" fontId="0" fillId="8" borderId="27" xfId="0" applyFill="1" applyBorder="1" applyAlignment="1">
      <alignment horizontal="center" vertical="center" wrapText="1"/>
    </xf>
    <xf numFmtId="169" fontId="11" fillId="8" borderId="28" xfId="2" applyNumberFormat="1" applyFont="1" applyFill="1" applyBorder="1" applyAlignment="1" applyProtection="1">
      <alignment horizontal="center" vertical="center" wrapText="1"/>
    </xf>
    <xf numFmtId="169" fontId="8" fillId="8" borderId="29" xfId="0" applyNumberFormat="1" applyFont="1" applyFill="1" applyBorder="1" applyAlignment="1">
      <alignment horizontal="center" vertical="center" wrapText="1"/>
    </xf>
    <xf numFmtId="0" fontId="8" fillId="9" borderId="30" xfId="0" applyFont="1" applyFill="1" applyBorder="1" applyAlignment="1">
      <alignment vertical="center" wrapText="1"/>
    </xf>
    <xf numFmtId="169" fontId="8" fillId="9" borderId="31" xfId="0" applyNumberFormat="1" applyFont="1" applyFill="1" applyBorder="1" applyAlignment="1">
      <alignment vertical="center" wrapText="1"/>
    </xf>
    <xf numFmtId="170" fontId="8" fillId="9" borderId="32" xfId="0" applyNumberFormat="1" applyFont="1" applyFill="1" applyBorder="1" applyAlignment="1">
      <alignment vertical="center" wrapText="1"/>
    </xf>
    <xf numFmtId="169" fontId="8" fillId="9" borderId="0" xfId="0" applyNumberFormat="1" applyFont="1" applyFill="1" applyAlignment="1">
      <alignment vertical="center" wrapText="1"/>
    </xf>
    <xf numFmtId="170" fontId="8" fillId="9" borderId="33" xfId="0" applyNumberFormat="1" applyFont="1" applyFill="1" applyBorder="1" applyAlignment="1">
      <alignment vertical="center" wrapText="1"/>
    </xf>
    <xf numFmtId="0" fontId="8" fillId="9" borderId="34" xfId="0" applyFont="1" applyFill="1" applyBorder="1" applyAlignment="1">
      <alignment vertical="center" wrapText="1"/>
    </xf>
    <xf numFmtId="0" fontId="13" fillId="6" borderId="21" xfId="0" applyFont="1" applyFill="1" applyBorder="1" applyAlignment="1" applyProtection="1">
      <alignment horizontal="center" vertical="center"/>
      <protection locked="0"/>
    </xf>
    <xf numFmtId="0" fontId="9" fillId="0" borderId="19" xfId="1" applyFont="1" applyFill="1" applyBorder="1" applyAlignment="1" applyProtection="1">
      <alignment horizontal="left" vertical="center" wrapText="1"/>
      <protection locked="0"/>
    </xf>
    <xf numFmtId="169" fontId="0" fillId="0" borderId="0" xfId="0" applyNumberFormat="1" applyAlignment="1">
      <alignment horizontal="center" vertical="center" wrapText="1"/>
    </xf>
    <xf numFmtId="167" fontId="8" fillId="0" borderId="19" xfId="0" applyNumberFormat="1" applyFont="1" applyBorder="1" applyAlignment="1" applyProtection="1">
      <alignment horizontal="left" vertical="center" wrapText="1"/>
      <protection locked="0"/>
    </xf>
    <xf numFmtId="0" fontId="14" fillId="0" borderId="19" xfId="1" applyFont="1" applyFill="1" applyBorder="1" applyAlignment="1" applyProtection="1">
      <alignment horizontal="left" vertical="center" wrapText="1"/>
      <protection locked="0"/>
    </xf>
    <xf numFmtId="0" fontId="8" fillId="0" borderId="26" xfId="0" applyFont="1" applyBorder="1" applyAlignment="1" applyProtection="1">
      <alignment horizontal="left" vertical="center" wrapText="1"/>
      <protection locked="0"/>
    </xf>
    <xf numFmtId="0" fontId="8" fillId="0" borderId="27" xfId="0" applyFont="1" applyBorder="1" applyAlignment="1" applyProtection="1">
      <alignment horizontal="left" vertical="center" wrapText="1"/>
      <protection locked="0"/>
    </xf>
    <xf numFmtId="0" fontId="15" fillId="0" borderId="19" xfId="1" applyFont="1" applyFill="1" applyBorder="1" applyAlignment="1" applyProtection="1">
      <alignment horizontal="left" vertical="center" wrapText="1"/>
      <protection locked="0"/>
    </xf>
    <xf numFmtId="0" fontId="14" fillId="0" borderId="20" xfId="1" applyFont="1" applyFill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23" xfId="0" applyFont="1" applyBorder="1" applyAlignment="1" applyProtection="1">
      <alignment horizontal="left" vertical="center" wrapText="1"/>
      <protection locked="0"/>
    </xf>
    <xf numFmtId="0" fontId="8" fillId="0" borderId="35" xfId="0" applyFont="1" applyBorder="1" applyAlignment="1" applyProtection="1">
      <alignment horizontal="left" vertical="center" wrapText="1"/>
      <protection locked="0"/>
    </xf>
    <xf numFmtId="166" fontId="8" fillId="0" borderId="35" xfId="0" applyNumberFormat="1" applyFont="1" applyBorder="1" applyAlignment="1" applyProtection="1">
      <alignment horizontal="left" vertical="center" wrapText="1"/>
      <protection locked="0"/>
    </xf>
    <xf numFmtId="0" fontId="8" fillId="0" borderId="36" xfId="0" applyFont="1" applyBorder="1" applyAlignment="1" applyProtection="1">
      <alignment horizontal="left" vertical="center" wrapText="1"/>
      <protection locked="0"/>
    </xf>
    <xf numFmtId="167" fontId="8" fillId="0" borderId="37" xfId="0" applyNumberFormat="1" applyFont="1" applyBorder="1" applyAlignment="1" applyProtection="1">
      <alignment horizontal="left" vertical="center" wrapText="1"/>
      <protection locked="0"/>
    </xf>
    <xf numFmtId="167" fontId="8" fillId="0" borderId="36" xfId="0" applyNumberFormat="1" applyFont="1" applyBorder="1" applyAlignment="1" applyProtection="1">
      <alignment horizontal="left" vertical="center" wrapText="1"/>
      <protection locked="0"/>
    </xf>
    <xf numFmtId="1" fontId="8" fillId="0" borderId="35" xfId="0" applyNumberFormat="1" applyFont="1" applyBorder="1" applyAlignment="1" applyProtection="1">
      <alignment horizontal="left" vertical="center" wrapText="1"/>
      <protection locked="0"/>
    </xf>
    <xf numFmtId="0" fontId="8" fillId="6" borderId="38" xfId="0" applyFont="1" applyFill="1" applyBorder="1" applyAlignment="1" applyProtection="1">
      <alignment horizontal="center" vertical="center" wrapText="1"/>
      <protection locked="0"/>
    </xf>
    <xf numFmtId="1" fontId="8" fillId="7" borderId="23" xfId="0" applyNumberFormat="1" applyFont="1" applyFill="1" applyBorder="1" applyAlignment="1" applyProtection="1">
      <alignment horizontal="center" vertical="center" wrapText="1"/>
      <protection locked="0"/>
    </xf>
    <xf numFmtId="168" fontId="8" fillId="7" borderId="35" xfId="0" applyNumberFormat="1" applyFont="1" applyFill="1" applyBorder="1" applyAlignment="1" applyProtection="1">
      <alignment horizontal="center" vertical="center" wrapText="1"/>
      <protection locked="0"/>
    </xf>
    <xf numFmtId="1" fontId="8" fillId="7" borderId="35" xfId="0" applyNumberFormat="1" applyFont="1" applyFill="1" applyBorder="1" applyAlignment="1" applyProtection="1">
      <alignment horizontal="center" vertical="center" wrapText="1"/>
      <protection locked="0"/>
    </xf>
    <xf numFmtId="1" fontId="8" fillId="7" borderId="36" xfId="0" applyNumberFormat="1" applyFont="1" applyFill="1" applyBorder="1" applyAlignment="1" applyProtection="1">
      <alignment horizontal="center" vertical="center" wrapText="1"/>
      <protection locked="0"/>
    </xf>
    <xf numFmtId="1" fontId="8" fillId="8" borderId="37" xfId="0" applyNumberFormat="1" applyFont="1" applyFill="1" applyBorder="1" applyAlignment="1">
      <alignment horizontal="center" vertical="center" wrapText="1"/>
    </xf>
    <xf numFmtId="1" fontId="8" fillId="8" borderId="39" xfId="0" applyNumberFormat="1" applyFont="1" applyFill="1" applyBorder="1" applyAlignment="1">
      <alignment horizontal="center" vertical="center" wrapText="1"/>
    </xf>
    <xf numFmtId="169" fontId="8" fillId="8" borderId="7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vertical="center" wrapText="1"/>
      <protection locked="0"/>
    </xf>
    <xf numFmtId="166" fontId="0" fillId="0" borderId="0" xfId="0" applyNumberFormat="1" applyAlignment="1" applyProtection="1">
      <alignment horizontal="left" vertical="center" wrapText="1"/>
      <protection locked="0"/>
    </xf>
    <xf numFmtId="167" fontId="0" fillId="0" borderId="0" xfId="0" applyNumberFormat="1" applyAlignment="1" applyProtection="1">
      <alignment horizontal="left" vertical="center" wrapText="1"/>
      <protection locked="0"/>
    </xf>
    <xf numFmtId="2" fontId="0" fillId="0" borderId="0" xfId="0" applyNumberFormat="1" applyAlignment="1">
      <alignment horizontal="left" vertical="center" wrapText="1"/>
    </xf>
    <xf numFmtId="0" fontId="0" fillId="0" borderId="0" xfId="0" applyAlignment="1" applyProtection="1">
      <alignment horizontal="center" vertical="center" wrapText="1"/>
      <protection locked="0"/>
    </xf>
    <xf numFmtId="1" fontId="0" fillId="0" borderId="0" xfId="0" applyNumberFormat="1" applyAlignment="1" applyProtection="1">
      <alignment horizontal="center" vertical="center" wrapText="1"/>
      <protection locked="0"/>
    </xf>
    <xf numFmtId="168" fontId="0" fillId="0" borderId="0" xfId="0" applyNumberFormat="1" applyAlignment="1" applyProtection="1">
      <alignment horizontal="center" vertical="center" wrapText="1"/>
      <protection locked="0"/>
    </xf>
    <xf numFmtId="1" fontId="0" fillId="0" borderId="0" xfId="0" applyNumberFormat="1" applyAlignment="1">
      <alignment horizontal="center" vertical="center" wrapText="1"/>
    </xf>
    <xf numFmtId="1" fontId="0" fillId="7" borderId="0" xfId="0" applyNumberFormat="1" applyFill="1" applyAlignment="1" applyProtection="1">
      <alignment horizontal="center" vertical="center" wrapText="1"/>
      <protection locked="0"/>
    </xf>
    <xf numFmtId="168" fontId="0" fillId="7" borderId="0" xfId="0" applyNumberFormat="1" applyFill="1" applyAlignment="1" applyProtection="1">
      <alignment horizontal="center" vertical="center" wrapText="1"/>
      <protection locked="0"/>
    </xf>
    <xf numFmtId="169" fontId="0" fillId="8" borderId="0" xfId="0" applyNumberFormat="1" applyFill="1" applyAlignment="1">
      <alignment horizontal="center" vertical="center" wrapText="1"/>
    </xf>
    <xf numFmtId="169" fontId="8" fillId="9" borderId="31" xfId="0" applyNumberFormat="1" applyFont="1" applyFill="1" applyBorder="1" applyAlignment="1">
      <alignment horizontal="center" vertical="center" wrapText="1"/>
    </xf>
    <xf numFmtId="169" fontId="8" fillId="9" borderId="52" xfId="0" applyNumberFormat="1" applyFont="1" applyFill="1" applyBorder="1" applyAlignment="1">
      <alignment horizontal="center" vertical="center" wrapText="1"/>
    </xf>
    <xf numFmtId="169" fontId="8" fillId="9" borderId="53" xfId="0" applyNumberFormat="1" applyFont="1" applyFill="1" applyBorder="1" applyAlignment="1">
      <alignment horizontal="center" vertical="center" wrapText="1"/>
    </xf>
    <xf numFmtId="169" fontId="8" fillId="9" borderId="54" xfId="0" applyNumberFormat="1" applyFont="1" applyFill="1" applyBorder="1" applyAlignment="1">
      <alignment horizontal="center" vertical="center" wrapText="1"/>
    </xf>
    <xf numFmtId="0" fontId="0" fillId="4" borderId="55" xfId="0" applyFill="1" applyBorder="1" applyAlignment="1">
      <alignment horizontal="center" vertical="center" wrapText="1"/>
    </xf>
    <xf numFmtId="0" fontId="0" fillId="4" borderId="56" xfId="0" applyFill="1" applyBorder="1" applyAlignment="1">
      <alignment horizontal="center" vertical="center" wrapText="1"/>
    </xf>
    <xf numFmtId="0" fontId="0" fillId="4" borderId="57" xfId="0" applyFill="1" applyBorder="1" applyAlignment="1">
      <alignment horizontal="center" vertical="center" wrapText="1"/>
    </xf>
    <xf numFmtId="0" fontId="0" fillId="4" borderId="58" xfId="0" applyFill="1" applyBorder="1" applyAlignment="1">
      <alignment horizontal="center" vertical="center" wrapText="1"/>
    </xf>
    <xf numFmtId="0" fontId="0" fillId="4" borderId="59" xfId="0" applyFill="1" applyBorder="1" applyAlignment="1">
      <alignment horizontal="center" vertical="center" wrapText="1"/>
    </xf>
    <xf numFmtId="0" fontId="0" fillId="4" borderId="60" xfId="0" applyFill="1" applyBorder="1" applyAlignment="1">
      <alignment horizontal="center" vertical="center" wrapText="1"/>
    </xf>
    <xf numFmtId="0" fontId="12" fillId="7" borderId="61" xfId="0" applyFont="1" applyFill="1" applyBorder="1" applyAlignment="1">
      <alignment horizontal="center" vertical="center" wrapText="1"/>
    </xf>
    <xf numFmtId="0" fontId="12" fillId="7" borderId="62" xfId="0" applyFont="1" applyFill="1" applyBorder="1" applyAlignment="1">
      <alignment horizontal="center" vertical="center" wrapText="1"/>
    </xf>
    <xf numFmtId="0" fontId="12" fillId="7" borderId="63" xfId="0" applyFont="1" applyFill="1" applyBorder="1" applyAlignment="1">
      <alignment horizontal="center" vertical="center" wrapText="1"/>
    </xf>
    <xf numFmtId="0" fontId="0" fillId="4" borderId="64" xfId="0" applyFill="1" applyBorder="1" applyAlignment="1">
      <alignment horizontal="center" vertical="center" wrapText="1"/>
    </xf>
    <xf numFmtId="0" fontId="0" fillId="4" borderId="65" xfId="0" applyFill="1" applyBorder="1" applyAlignment="1">
      <alignment horizontal="center" vertical="center" wrapText="1"/>
    </xf>
    <xf numFmtId="0" fontId="0" fillId="4" borderId="66" xfId="0" applyFill="1" applyBorder="1" applyAlignment="1">
      <alignment horizontal="center" vertical="center" wrapText="1"/>
    </xf>
    <xf numFmtId="0" fontId="8" fillId="4" borderId="64" xfId="0" applyFont="1" applyFill="1" applyBorder="1" applyAlignment="1">
      <alignment horizontal="center" vertical="center" wrapText="1"/>
    </xf>
    <xf numFmtId="0" fontId="8" fillId="4" borderId="65" xfId="0" applyFont="1" applyFill="1" applyBorder="1" applyAlignment="1">
      <alignment horizontal="center" vertical="center" wrapText="1"/>
    </xf>
    <xf numFmtId="0" fontId="8" fillId="4" borderId="66" xfId="0" applyFont="1" applyFill="1" applyBorder="1" applyAlignment="1">
      <alignment horizontal="center" vertical="center" wrapText="1"/>
    </xf>
    <xf numFmtId="0" fontId="0" fillId="4" borderId="67" xfId="0" applyFill="1" applyBorder="1" applyAlignment="1">
      <alignment horizontal="center" vertical="center" wrapText="1"/>
    </xf>
    <xf numFmtId="0" fontId="0" fillId="4" borderId="68" xfId="0" applyFill="1" applyBorder="1" applyAlignment="1">
      <alignment horizontal="center" vertical="center" wrapText="1"/>
    </xf>
    <xf numFmtId="0" fontId="0" fillId="4" borderId="69" xfId="0" applyFill="1" applyBorder="1" applyAlignment="1">
      <alignment horizontal="center" vertical="center" wrapText="1"/>
    </xf>
    <xf numFmtId="0" fontId="0" fillId="7" borderId="45" xfId="0" applyFill="1" applyBorder="1" applyAlignment="1" applyProtection="1">
      <alignment horizontal="center" vertical="center" wrapText="1"/>
      <protection locked="0"/>
    </xf>
    <xf numFmtId="0" fontId="0" fillId="7" borderId="40" xfId="0" applyFill="1" applyBorder="1" applyAlignment="1" applyProtection="1">
      <alignment horizontal="center" vertical="center" wrapText="1"/>
      <protection locked="0"/>
    </xf>
    <xf numFmtId="0" fontId="8" fillId="2" borderId="46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0" borderId="41" xfId="0" applyFont="1" applyBorder="1" applyAlignment="1" applyProtection="1">
      <alignment horizontal="center" vertical="center" wrapText="1"/>
      <protection locked="0"/>
    </xf>
    <xf numFmtId="0" fontId="8" fillId="0" borderId="42" xfId="0" applyFont="1" applyBorder="1" applyAlignment="1" applyProtection="1">
      <alignment horizontal="center" vertical="center" wrapText="1"/>
      <protection locked="0"/>
    </xf>
    <xf numFmtId="0" fontId="8" fillId="0" borderId="43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44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2" fillId="5" borderId="24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4" fillId="10" borderId="49" xfId="0" applyFont="1" applyFill="1" applyBorder="1" applyAlignment="1">
      <alignment horizontal="center" vertical="center" wrapText="1"/>
    </xf>
    <xf numFmtId="0" fontId="4" fillId="10" borderId="50" xfId="0" applyFont="1" applyFill="1" applyBorder="1" applyAlignment="1">
      <alignment horizontal="center" vertical="center" wrapText="1"/>
    </xf>
    <xf numFmtId="0" fontId="4" fillId="10" borderId="5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0" fontId="4" fillId="0" borderId="41" xfId="0" applyFont="1" applyBorder="1" applyAlignment="1" applyProtection="1">
      <alignment horizontal="center" vertical="center" wrapText="1"/>
      <protection locked="0"/>
    </xf>
    <xf numFmtId="0" fontId="4" fillId="0" borderId="42" xfId="0" applyFont="1" applyBorder="1" applyAlignment="1" applyProtection="1">
      <alignment horizontal="center" vertical="center" wrapText="1"/>
      <protection locked="0"/>
    </xf>
    <xf numFmtId="0" fontId="4" fillId="0" borderId="43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44" xfId="0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 applyProtection="1">
      <alignment horizontal="center" vertical="center" wrapText="1"/>
      <protection locked="0"/>
    </xf>
    <xf numFmtId="14" fontId="0" fillId="0" borderId="11" xfId="0" applyNumberFormat="1" applyBorder="1" applyAlignment="1" applyProtection="1">
      <alignment horizontal="center" vertical="center" wrapText="1"/>
      <protection locked="0"/>
    </xf>
    <xf numFmtId="14" fontId="0" fillId="0" borderId="25" xfId="0" applyNumberFormat="1" applyBorder="1" applyAlignment="1" applyProtection="1">
      <alignment horizontal="center" vertical="center" wrapText="1"/>
      <protection locked="0"/>
    </xf>
    <xf numFmtId="0" fontId="0" fillId="0" borderId="35" xfId="0" applyBorder="1" applyAlignment="1" applyProtection="1">
      <alignment horizontal="center" vertical="center" wrapText="1"/>
      <protection locked="0"/>
    </xf>
    <xf numFmtId="0" fontId="0" fillId="0" borderId="39" xfId="0" applyBorder="1" applyAlignment="1" applyProtection="1">
      <alignment horizontal="center" vertical="center" wrapText="1"/>
      <protection locked="0"/>
    </xf>
  </cellXfs>
  <cellStyles count="3">
    <cellStyle name="Lien hypertexte" xfId="1" builtinId="8"/>
    <cellStyle name="Monétaire" xfId="2" builtinId="4"/>
    <cellStyle name="Normal" xfId="0" builtinId="0"/>
  </cellStyles>
  <dxfs count="1"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7C5B-26A9-4AE9-A0B4-ED304E8FE5B3}">
  <dimension ref="A1:AB1085"/>
  <sheetViews>
    <sheetView tabSelected="1" topLeftCell="N1" zoomScaleNormal="100" workbookViewId="0">
      <selection activeCell="AA6" sqref="AA6:AB6"/>
    </sheetView>
  </sheetViews>
  <sheetFormatPr baseColWidth="10" defaultRowHeight="12.75" x14ac:dyDescent="0.2"/>
  <cols>
    <col min="1" max="3" width="25.7109375" style="115" customWidth="1"/>
    <col min="4" max="5" width="22.7109375" style="115" customWidth="1"/>
    <col min="6" max="6" width="14.5703125" style="116" customWidth="1"/>
    <col min="7" max="7" width="25.7109375" style="115" customWidth="1"/>
    <col min="8" max="8" width="14.7109375" style="115" customWidth="1"/>
    <col min="9" max="9" width="36" style="115" customWidth="1"/>
    <col min="10" max="11" width="16.7109375" style="117" customWidth="1"/>
    <col min="12" max="12" width="37.5703125" style="118" customWidth="1"/>
    <col min="13" max="13" width="15.7109375" style="119" customWidth="1"/>
    <col min="14" max="14" width="14.42578125" style="123" customWidth="1"/>
    <col min="15" max="17" width="13.42578125" style="124" customWidth="1"/>
    <col min="18" max="18" width="14" style="123" customWidth="1"/>
    <col min="19" max="19" width="14.85546875" style="123" customWidth="1"/>
    <col min="20" max="21" width="13.7109375" style="123" customWidth="1"/>
    <col min="22" max="22" width="16.7109375" style="122" customWidth="1"/>
    <col min="23" max="23" width="16.28515625" style="122" customWidth="1"/>
    <col min="24" max="24" width="18.5703125" style="125" customWidth="1"/>
    <col min="25" max="25" width="13" style="69" customWidth="1"/>
    <col min="26" max="26" width="40.140625" style="69" customWidth="1"/>
    <col min="27" max="27" width="20.7109375" style="69" customWidth="1"/>
    <col min="28" max="28" width="19.140625" style="69" customWidth="1"/>
  </cols>
  <sheetData>
    <row r="1" spans="1:28" ht="4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6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1" t="s">
        <v>13</v>
      </c>
      <c r="O1" s="12" t="s">
        <v>14</v>
      </c>
      <c r="P1" s="12" t="s">
        <v>15</v>
      </c>
      <c r="Q1" s="13" t="s">
        <v>16</v>
      </c>
      <c r="R1" s="11" t="s">
        <v>17</v>
      </c>
      <c r="S1" s="14" t="s">
        <v>18</v>
      </c>
      <c r="T1" s="11" t="s">
        <v>19</v>
      </c>
      <c r="U1" s="15" t="s">
        <v>20</v>
      </c>
      <c r="V1" s="16" t="s">
        <v>21</v>
      </c>
      <c r="W1" s="16" t="s">
        <v>22</v>
      </c>
      <c r="X1" s="17" t="s">
        <v>23</v>
      </c>
      <c r="Y1" s="18"/>
      <c r="Z1" s="164" t="s">
        <v>24</v>
      </c>
      <c r="AA1" s="165"/>
      <c r="AB1" s="166"/>
    </row>
    <row r="2" spans="1:28" ht="34.5" customHeight="1" thickBot="1" x14ac:dyDescent="0.25">
      <c r="A2" s="167" t="s">
        <v>25</v>
      </c>
      <c r="B2" s="168"/>
      <c r="C2" s="19"/>
      <c r="D2" s="19"/>
      <c r="E2" s="19"/>
      <c r="F2" s="20"/>
      <c r="G2" s="21"/>
      <c r="H2" s="19"/>
      <c r="I2" s="22"/>
      <c r="J2" s="23"/>
      <c r="K2" s="24"/>
      <c r="L2" s="25" t="s">
        <v>26</v>
      </c>
      <c r="M2" s="26"/>
      <c r="N2" s="169" t="s">
        <v>27</v>
      </c>
      <c r="O2" s="170"/>
      <c r="P2" s="170"/>
      <c r="Q2" s="170"/>
      <c r="R2" s="170"/>
      <c r="S2" s="170"/>
      <c r="T2" s="170"/>
      <c r="U2" s="170"/>
      <c r="V2" s="27" t="s">
        <v>28</v>
      </c>
      <c r="W2" s="27" t="s">
        <v>28</v>
      </c>
      <c r="X2" s="28" t="s">
        <v>28</v>
      </c>
      <c r="Y2" s="18"/>
      <c r="Z2" s="171" t="s">
        <v>46</v>
      </c>
      <c r="AA2" s="172"/>
      <c r="AB2" s="173"/>
    </row>
    <row r="3" spans="1:28" ht="16.5" thickBot="1" x14ac:dyDescent="0.25">
      <c r="A3" s="29"/>
      <c r="B3" s="30"/>
      <c r="C3" s="30"/>
      <c r="D3" s="30"/>
      <c r="E3" s="31"/>
      <c r="F3" s="32"/>
      <c r="G3" s="31"/>
      <c r="H3" s="31"/>
      <c r="I3" s="33"/>
      <c r="J3" s="34"/>
      <c r="K3" s="35"/>
      <c r="L3" s="36"/>
      <c r="M3" s="37"/>
      <c r="N3" s="38"/>
      <c r="O3" s="39"/>
      <c r="P3" s="39"/>
      <c r="Q3" s="39"/>
      <c r="R3" s="40"/>
      <c r="S3" s="40"/>
      <c r="T3" s="40"/>
      <c r="U3" s="41"/>
      <c r="V3" s="42">
        <f>IF(ISBLANK(L3),0,IF(L3=0,0,IF(L3&gt;0,1)))</f>
        <v>0</v>
      </c>
      <c r="W3" s="43">
        <f>V3*M3</f>
        <v>0</v>
      </c>
      <c r="X3" s="44">
        <f>P3*$AA$30+Q3*$AA$31+N3*$AA$28+O3*$AA$29+R3*M3*$AA$32+S3*M3*$AA$33+T3*M3*$AA$34+V3*M3*$AA$35+U3*M3*$AA$36</f>
        <v>0</v>
      </c>
      <c r="Y3" s="18"/>
      <c r="Z3" s="174"/>
      <c r="AA3" s="175"/>
      <c r="AB3" s="176"/>
    </row>
    <row r="4" spans="1:28" ht="16.5" thickBot="1" x14ac:dyDescent="0.25">
      <c r="A4" s="45"/>
      <c r="B4" s="46"/>
      <c r="C4" s="46"/>
      <c r="D4" s="46"/>
      <c r="E4" s="47"/>
      <c r="F4" s="48"/>
      <c r="G4" s="47"/>
      <c r="H4" s="49"/>
      <c r="I4" s="50"/>
      <c r="J4" s="51"/>
      <c r="K4" s="52"/>
      <c r="L4" s="53"/>
      <c r="M4" s="54"/>
      <c r="N4" s="55"/>
      <c r="O4" s="56"/>
      <c r="P4" s="56"/>
      <c r="Q4" s="56"/>
      <c r="R4" s="57"/>
      <c r="S4" s="58"/>
      <c r="T4" s="57"/>
      <c r="U4" s="59"/>
      <c r="V4" s="42">
        <f t="shared" ref="V4:V71" si="0">IF(ISBLANK(L4),0,IF(L4=0,0,IF(L4&gt;0,1)))</f>
        <v>0</v>
      </c>
      <c r="W4" s="60">
        <f t="shared" ref="W4:W67" si="1">V4*M4</f>
        <v>0</v>
      </c>
      <c r="X4" s="44">
        <f t="shared" ref="X4:X67" si="2">P4*$AA$30+Q4*$AA$31+N4*$AA$28+O4*$AA$29+R4*M4*$AA$32+S4*M4*$AA$33+T4*M4*$AA$34+V4*M4*$AA$35+U4*M4*$AA$36</f>
        <v>0</v>
      </c>
      <c r="Y4" s="18"/>
      <c r="Z4" s="61"/>
      <c r="AA4" s="61"/>
      <c r="AB4" s="61"/>
    </row>
    <row r="5" spans="1:28" ht="15" x14ac:dyDescent="0.2">
      <c r="A5" s="62"/>
      <c r="B5" s="47"/>
      <c r="C5" s="47"/>
      <c r="D5" s="47"/>
      <c r="E5" s="47"/>
      <c r="F5" s="48"/>
      <c r="G5" s="47"/>
      <c r="H5" s="49"/>
      <c r="I5" s="63"/>
      <c r="J5" s="51"/>
      <c r="K5" s="52"/>
      <c r="L5" s="53"/>
      <c r="M5" s="54"/>
      <c r="N5" s="55"/>
      <c r="O5" s="64"/>
      <c r="P5" s="64"/>
      <c r="Q5" s="64"/>
      <c r="R5" s="57"/>
      <c r="S5" s="58"/>
      <c r="T5" s="57"/>
      <c r="U5" s="59"/>
      <c r="V5" s="42">
        <f t="shared" si="0"/>
        <v>0</v>
      </c>
      <c r="W5" s="60">
        <f t="shared" si="1"/>
        <v>0</v>
      </c>
      <c r="X5" s="44">
        <f t="shared" si="2"/>
        <v>0</v>
      </c>
      <c r="Y5" s="18"/>
      <c r="Z5" s="65" t="s">
        <v>29</v>
      </c>
      <c r="AA5" s="177"/>
      <c r="AB5" s="178"/>
    </row>
    <row r="6" spans="1:28" ht="15.75" thickBot="1" x14ac:dyDescent="0.25">
      <c r="A6" s="62"/>
      <c r="B6" s="47"/>
      <c r="C6" s="47"/>
      <c r="D6" s="47"/>
      <c r="E6" s="47"/>
      <c r="F6" s="48"/>
      <c r="G6" s="47"/>
      <c r="H6" s="49"/>
      <c r="I6" s="63"/>
      <c r="J6" s="51"/>
      <c r="K6" s="52"/>
      <c r="L6" s="53"/>
      <c r="M6" s="54"/>
      <c r="N6" s="55"/>
      <c r="O6" s="64"/>
      <c r="P6" s="64"/>
      <c r="Q6" s="64"/>
      <c r="R6" s="57"/>
      <c r="S6" s="58"/>
      <c r="T6" s="57"/>
      <c r="U6" s="59"/>
      <c r="V6" s="42">
        <f t="shared" si="0"/>
        <v>0</v>
      </c>
      <c r="W6" s="60">
        <f t="shared" si="1"/>
        <v>0</v>
      </c>
      <c r="X6" s="44">
        <f t="shared" si="2"/>
        <v>0</v>
      </c>
      <c r="Y6" s="18"/>
      <c r="Z6" s="66" t="s">
        <v>30</v>
      </c>
      <c r="AA6" s="179"/>
      <c r="AB6" s="180"/>
    </row>
    <row r="7" spans="1:28" ht="16.5" thickBot="1" x14ac:dyDescent="0.25">
      <c r="A7" s="62"/>
      <c r="B7" s="47"/>
      <c r="C7" s="47"/>
      <c r="D7" s="47"/>
      <c r="E7" s="47"/>
      <c r="F7" s="48"/>
      <c r="G7" s="47"/>
      <c r="H7" s="49"/>
      <c r="I7" s="50"/>
      <c r="J7" s="51"/>
      <c r="K7" s="52"/>
      <c r="L7" s="53"/>
      <c r="M7" s="67"/>
      <c r="N7" s="55"/>
      <c r="O7" s="56"/>
      <c r="P7" s="56"/>
      <c r="Q7" s="56"/>
      <c r="R7" s="57"/>
      <c r="S7" s="58"/>
      <c r="T7" s="57"/>
      <c r="U7" s="59"/>
      <c r="V7" s="42">
        <f t="shared" si="0"/>
        <v>0</v>
      </c>
      <c r="W7" s="60">
        <f t="shared" si="1"/>
        <v>0</v>
      </c>
      <c r="X7" s="44">
        <f t="shared" si="2"/>
        <v>0</v>
      </c>
      <c r="Y7" s="18"/>
      <c r="Z7" s="68"/>
    </row>
    <row r="8" spans="1:28" ht="16.5" thickBot="1" x14ac:dyDescent="0.25">
      <c r="A8" s="45"/>
      <c r="B8" s="46"/>
      <c r="C8" s="46"/>
      <c r="D8" s="46"/>
      <c r="E8" s="47"/>
      <c r="F8" s="48"/>
      <c r="G8" s="47"/>
      <c r="H8" s="49"/>
      <c r="I8" s="50"/>
      <c r="J8" s="51"/>
      <c r="K8" s="52"/>
      <c r="L8" s="53"/>
      <c r="M8" s="54"/>
      <c r="N8" s="55"/>
      <c r="O8" s="56"/>
      <c r="P8" s="56"/>
      <c r="Q8" s="56"/>
      <c r="R8" s="57"/>
      <c r="S8" s="58"/>
      <c r="T8" s="57"/>
      <c r="U8" s="59"/>
      <c r="V8" s="42">
        <f t="shared" si="0"/>
        <v>0</v>
      </c>
      <c r="W8" s="60">
        <f t="shared" si="1"/>
        <v>0</v>
      </c>
      <c r="X8" s="44">
        <f t="shared" si="2"/>
        <v>0</v>
      </c>
      <c r="Y8" s="18"/>
      <c r="Z8" s="70" t="s">
        <v>31</v>
      </c>
      <c r="AA8" s="148"/>
      <c r="AB8" s="149"/>
    </row>
    <row r="9" spans="1:28" ht="16.5" thickBot="1" x14ac:dyDescent="0.25">
      <c r="A9" s="45"/>
      <c r="B9" s="46"/>
      <c r="C9" s="46"/>
      <c r="D9" s="46"/>
      <c r="E9" s="47"/>
      <c r="F9" s="48"/>
      <c r="G9" s="47"/>
      <c r="H9" s="49"/>
      <c r="I9" s="50"/>
      <c r="J9" s="51"/>
      <c r="K9" s="52"/>
      <c r="L9" s="53"/>
      <c r="M9" s="54"/>
      <c r="N9" s="55"/>
      <c r="O9" s="56"/>
      <c r="P9" s="56"/>
      <c r="Q9" s="56"/>
      <c r="R9" s="57"/>
      <c r="S9" s="58"/>
      <c r="T9" s="57"/>
      <c r="U9" s="59"/>
      <c r="V9" s="42">
        <f t="shared" si="0"/>
        <v>0</v>
      </c>
      <c r="W9" s="60">
        <f t="shared" si="1"/>
        <v>0</v>
      </c>
      <c r="X9" s="44">
        <f t="shared" si="2"/>
        <v>0</v>
      </c>
      <c r="Y9" s="18"/>
    </row>
    <row r="10" spans="1:28" ht="15" x14ac:dyDescent="0.2">
      <c r="A10" s="62"/>
      <c r="B10" s="47"/>
      <c r="C10" s="47"/>
      <c r="D10" s="47"/>
      <c r="E10" s="47"/>
      <c r="F10" s="48"/>
      <c r="G10" s="47"/>
      <c r="H10" s="49"/>
      <c r="I10" s="63"/>
      <c r="J10" s="51"/>
      <c r="K10" s="52"/>
      <c r="L10" s="53"/>
      <c r="M10" s="54"/>
      <c r="N10" s="55"/>
      <c r="O10" s="64"/>
      <c r="P10" s="64"/>
      <c r="Q10" s="64"/>
      <c r="R10" s="57"/>
      <c r="S10" s="58"/>
      <c r="T10" s="57"/>
      <c r="U10" s="59"/>
      <c r="V10" s="42">
        <f t="shared" si="0"/>
        <v>0</v>
      </c>
      <c r="W10" s="60">
        <f t="shared" si="1"/>
        <v>0</v>
      </c>
      <c r="X10" s="44">
        <f t="shared" si="2"/>
        <v>0</v>
      </c>
      <c r="Z10" s="150" t="s">
        <v>32</v>
      </c>
      <c r="AA10" s="151"/>
      <c r="AB10" s="152"/>
    </row>
    <row r="11" spans="1:28" ht="15" x14ac:dyDescent="0.2">
      <c r="A11" s="62"/>
      <c r="B11" s="47"/>
      <c r="C11" s="47"/>
      <c r="D11" s="47"/>
      <c r="E11" s="47"/>
      <c r="F11" s="48"/>
      <c r="G11" s="47"/>
      <c r="H11" s="49"/>
      <c r="I11" s="63"/>
      <c r="J11" s="51"/>
      <c r="K11" s="52"/>
      <c r="L11" s="53"/>
      <c r="M11" s="54"/>
      <c r="N11" s="55"/>
      <c r="O11" s="64"/>
      <c r="P11" s="64"/>
      <c r="Q11" s="64"/>
      <c r="R11" s="57"/>
      <c r="S11" s="58"/>
      <c r="T11" s="57"/>
      <c r="U11" s="59"/>
      <c r="V11" s="42">
        <f t="shared" si="0"/>
        <v>0</v>
      </c>
      <c r="W11" s="60">
        <f t="shared" si="1"/>
        <v>0</v>
      </c>
      <c r="X11" s="44">
        <f t="shared" si="2"/>
        <v>0</v>
      </c>
      <c r="Z11" s="153"/>
      <c r="AA11" s="154"/>
      <c r="AB11" s="155"/>
    </row>
    <row r="12" spans="1:28" ht="15.75" thickBot="1" x14ac:dyDescent="0.25">
      <c r="A12" s="62"/>
      <c r="B12" s="47"/>
      <c r="C12" s="47"/>
      <c r="D12" s="47"/>
      <c r="E12" s="47"/>
      <c r="F12" s="48"/>
      <c r="G12" s="47"/>
      <c r="H12" s="49"/>
      <c r="I12" s="63"/>
      <c r="J12" s="51"/>
      <c r="K12" s="52"/>
      <c r="L12" s="53"/>
      <c r="M12" s="54"/>
      <c r="N12" s="55"/>
      <c r="O12" s="64"/>
      <c r="P12" s="64"/>
      <c r="Q12" s="64"/>
      <c r="R12" s="57"/>
      <c r="S12" s="58"/>
      <c r="T12" s="57"/>
      <c r="U12" s="59"/>
      <c r="V12" s="42">
        <f t="shared" si="0"/>
        <v>0</v>
      </c>
      <c r="W12" s="60">
        <f t="shared" si="1"/>
        <v>0</v>
      </c>
      <c r="X12" s="44">
        <f t="shared" si="2"/>
        <v>0</v>
      </c>
      <c r="Z12" s="156"/>
      <c r="AA12" s="157"/>
      <c r="AB12" s="158"/>
    </row>
    <row r="13" spans="1:28" ht="16.5" thickBot="1" x14ac:dyDescent="0.25">
      <c r="A13" s="45"/>
      <c r="B13" s="46"/>
      <c r="C13" s="46"/>
      <c r="D13" s="46"/>
      <c r="E13" s="47"/>
      <c r="F13" s="48"/>
      <c r="G13" s="47"/>
      <c r="H13" s="49"/>
      <c r="I13" s="50"/>
      <c r="J13" s="51"/>
      <c r="K13" s="52"/>
      <c r="L13" s="53"/>
      <c r="M13" s="71"/>
      <c r="N13" s="55"/>
      <c r="O13" s="56"/>
      <c r="P13" s="56"/>
      <c r="Q13" s="56"/>
      <c r="R13" s="57"/>
      <c r="S13" s="58"/>
      <c r="T13" s="57"/>
      <c r="U13" s="59"/>
      <c r="V13" s="42">
        <f t="shared" si="0"/>
        <v>0</v>
      </c>
      <c r="W13" s="60">
        <f t="shared" si="1"/>
        <v>0</v>
      </c>
      <c r="X13" s="44">
        <f t="shared" si="2"/>
        <v>0</v>
      </c>
      <c r="Z13" s="68"/>
      <c r="AA13" s="68"/>
      <c r="AB13" s="68"/>
    </row>
    <row r="14" spans="1:28" ht="27" x14ac:dyDescent="0.2">
      <c r="A14" s="45"/>
      <c r="B14" s="46"/>
      <c r="C14" s="46"/>
      <c r="D14" s="46"/>
      <c r="E14" s="47"/>
      <c r="F14" s="48"/>
      <c r="G14" s="47"/>
      <c r="H14" s="49"/>
      <c r="I14" s="50"/>
      <c r="J14" s="51"/>
      <c r="K14" s="52"/>
      <c r="L14" s="53"/>
      <c r="M14" s="54"/>
      <c r="N14" s="55"/>
      <c r="O14" s="56"/>
      <c r="P14" s="56"/>
      <c r="Q14" s="56"/>
      <c r="R14" s="57"/>
      <c r="S14" s="58"/>
      <c r="T14" s="57"/>
      <c r="U14" s="59"/>
      <c r="V14" s="42">
        <f t="shared" si="0"/>
        <v>0</v>
      </c>
      <c r="W14" s="60">
        <f t="shared" si="1"/>
        <v>0</v>
      </c>
      <c r="X14" s="44">
        <f t="shared" si="2"/>
        <v>0</v>
      </c>
      <c r="Z14" s="72" t="s">
        <v>33</v>
      </c>
      <c r="AA14" s="73" t="s">
        <v>34</v>
      </c>
      <c r="AB14" s="74" t="s">
        <v>35</v>
      </c>
    </row>
    <row r="15" spans="1:28" ht="15" x14ac:dyDescent="0.2">
      <c r="A15" s="62"/>
      <c r="B15" s="47"/>
      <c r="C15" s="47"/>
      <c r="D15" s="47"/>
      <c r="E15" s="47"/>
      <c r="F15" s="48"/>
      <c r="G15" s="47"/>
      <c r="H15" s="49"/>
      <c r="I15" s="63"/>
      <c r="J15" s="51"/>
      <c r="K15" s="52"/>
      <c r="L15" s="53"/>
      <c r="M15" s="54"/>
      <c r="N15" s="55"/>
      <c r="O15" s="64"/>
      <c r="P15" s="64"/>
      <c r="Q15" s="64"/>
      <c r="R15" s="57"/>
      <c r="S15" s="58"/>
      <c r="T15" s="57"/>
      <c r="U15" s="59"/>
      <c r="V15" s="42">
        <f t="shared" si="0"/>
        <v>0</v>
      </c>
      <c r="W15" s="60">
        <f t="shared" si="1"/>
        <v>0</v>
      </c>
      <c r="X15" s="44">
        <f t="shared" si="2"/>
        <v>0</v>
      </c>
      <c r="Z15" s="75" t="s">
        <v>13</v>
      </c>
      <c r="AA15" s="42">
        <f>SUM(N3:N300)</f>
        <v>0</v>
      </c>
      <c r="AB15" s="76">
        <f t="shared" ref="AB15:AB24" si="3">AA15*AA28</f>
        <v>0</v>
      </c>
    </row>
    <row r="16" spans="1:28" ht="15.75" x14ac:dyDescent="0.2">
      <c r="A16" s="62"/>
      <c r="B16" s="47"/>
      <c r="C16" s="47"/>
      <c r="D16" s="47"/>
      <c r="E16" s="47"/>
      <c r="F16" s="48"/>
      <c r="G16" s="47"/>
      <c r="H16" s="49"/>
      <c r="I16" s="63"/>
      <c r="J16" s="51"/>
      <c r="K16" s="52"/>
      <c r="L16" s="53"/>
      <c r="M16" s="67"/>
      <c r="N16" s="55"/>
      <c r="O16" s="56"/>
      <c r="P16" s="56"/>
      <c r="Q16" s="56"/>
      <c r="R16" s="57"/>
      <c r="S16" s="58"/>
      <c r="T16" s="57"/>
      <c r="U16" s="59"/>
      <c r="V16" s="42">
        <f t="shared" si="0"/>
        <v>0</v>
      </c>
      <c r="W16" s="60">
        <f t="shared" si="1"/>
        <v>0</v>
      </c>
      <c r="X16" s="44">
        <f t="shared" si="2"/>
        <v>0</v>
      </c>
      <c r="Z16" s="77" t="s">
        <v>14</v>
      </c>
      <c r="AA16" s="78">
        <f>SUM(O3:O300)</f>
        <v>0</v>
      </c>
      <c r="AB16" s="79">
        <f t="shared" si="3"/>
        <v>0</v>
      </c>
    </row>
    <row r="17" spans="1:28" ht="15.75" x14ac:dyDescent="0.2">
      <c r="A17" s="62"/>
      <c r="B17" s="47"/>
      <c r="C17" s="47"/>
      <c r="D17" s="47"/>
      <c r="E17" s="47"/>
      <c r="F17" s="48"/>
      <c r="G17" s="47"/>
      <c r="H17" s="49"/>
      <c r="I17" s="63"/>
      <c r="J17" s="51"/>
      <c r="K17" s="52"/>
      <c r="L17" s="53"/>
      <c r="M17" s="67"/>
      <c r="N17" s="55"/>
      <c r="O17" s="56"/>
      <c r="P17" s="56"/>
      <c r="Q17" s="56"/>
      <c r="R17" s="57"/>
      <c r="S17" s="58"/>
      <c r="T17" s="57"/>
      <c r="U17" s="59"/>
      <c r="V17" s="42">
        <f>IF(ISBLANK(L17),0,IF(L17=0,0,IF(L17&gt;0,1)))</f>
        <v>0</v>
      </c>
      <c r="W17" s="60">
        <f>V17*M17</f>
        <v>0</v>
      </c>
      <c r="X17" s="44">
        <f t="shared" si="2"/>
        <v>0</v>
      </c>
      <c r="Z17" s="77" t="s">
        <v>15</v>
      </c>
      <c r="AA17" s="78">
        <f>SUM(P3:P300)</f>
        <v>0</v>
      </c>
      <c r="AB17" s="79">
        <f t="shared" si="3"/>
        <v>0</v>
      </c>
    </row>
    <row r="18" spans="1:28" ht="15.75" x14ac:dyDescent="0.2">
      <c r="A18" s="62"/>
      <c r="B18" s="47"/>
      <c r="C18" s="47"/>
      <c r="D18" s="47"/>
      <c r="E18" s="47"/>
      <c r="F18" s="48"/>
      <c r="G18" s="47"/>
      <c r="H18" s="49"/>
      <c r="I18" s="63"/>
      <c r="J18" s="51"/>
      <c r="K18" s="52"/>
      <c r="L18" s="53"/>
      <c r="M18" s="67"/>
      <c r="N18" s="55"/>
      <c r="O18" s="56"/>
      <c r="P18" s="56"/>
      <c r="Q18" s="56"/>
      <c r="R18" s="57"/>
      <c r="S18" s="58"/>
      <c r="T18" s="57"/>
      <c r="U18" s="59"/>
      <c r="V18" s="42">
        <f>IF(ISBLANK(L18),0,IF(L18=0,0,IF(L18&gt;0,1)))</f>
        <v>0</v>
      </c>
      <c r="W18" s="60">
        <f>V18*M18</f>
        <v>0</v>
      </c>
      <c r="X18" s="44">
        <f t="shared" si="2"/>
        <v>0</v>
      </c>
      <c r="Z18" s="77" t="s">
        <v>16</v>
      </c>
      <c r="AA18" s="78">
        <f>SUM(Q3:Q300)</f>
        <v>0</v>
      </c>
      <c r="AB18" s="79">
        <f t="shared" si="3"/>
        <v>0</v>
      </c>
    </row>
    <row r="19" spans="1:28" ht="15.75" x14ac:dyDescent="0.2">
      <c r="A19" s="45"/>
      <c r="B19" s="46"/>
      <c r="C19" s="46"/>
      <c r="D19" s="46"/>
      <c r="E19" s="47"/>
      <c r="F19" s="48"/>
      <c r="G19" s="47"/>
      <c r="H19" s="49"/>
      <c r="I19" s="50"/>
      <c r="J19" s="51"/>
      <c r="K19" s="52"/>
      <c r="L19" s="53"/>
      <c r="M19" s="54"/>
      <c r="N19" s="55"/>
      <c r="O19" s="56"/>
      <c r="P19" s="56"/>
      <c r="Q19" s="56"/>
      <c r="R19" s="57"/>
      <c r="S19" s="58"/>
      <c r="T19" s="57"/>
      <c r="U19" s="59"/>
      <c r="V19" s="42">
        <f t="shared" si="0"/>
        <v>0</v>
      </c>
      <c r="W19" s="60">
        <f t="shared" si="1"/>
        <v>0</v>
      </c>
      <c r="X19" s="44">
        <f t="shared" si="2"/>
        <v>0</v>
      </c>
      <c r="Z19" s="75" t="s">
        <v>17</v>
      </c>
      <c r="AA19" s="78">
        <f>SUMPRODUCT(M3:M300,R3:R300)</f>
        <v>0</v>
      </c>
      <c r="AB19" s="79">
        <f t="shared" si="3"/>
        <v>0</v>
      </c>
    </row>
    <row r="20" spans="1:28" ht="15.75" x14ac:dyDescent="0.2">
      <c r="A20" s="45"/>
      <c r="B20" s="46"/>
      <c r="C20" s="46"/>
      <c r="D20" s="46"/>
      <c r="E20" s="47"/>
      <c r="F20" s="48"/>
      <c r="G20" s="47"/>
      <c r="H20" s="49"/>
      <c r="I20" s="50"/>
      <c r="J20" s="51"/>
      <c r="K20" s="52"/>
      <c r="L20" s="53"/>
      <c r="M20" s="71"/>
      <c r="N20" s="55"/>
      <c r="O20" s="56"/>
      <c r="P20" s="56"/>
      <c r="Q20" s="56"/>
      <c r="R20" s="57"/>
      <c r="S20" s="58"/>
      <c r="T20" s="57"/>
      <c r="U20" s="59"/>
      <c r="V20" s="42">
        <f t="shared" si="0"/>
        <v>0</v>
      </c>
      <c r="W20" s="60">
        <f t="shared" si="1"/>
        <v>0</v>
      </c>
      <c r="X20" s="44">
        <f t="shared" si="2"/>
        <v>0</v>
      </c>
      <c r="Z20" s="75" t="s">
        <v>18</v>
      </c>
      <c r="AA20" s="78">
        <f>SUMPRODUCT(M3:M300,S3:S300)</f>
        <v>0</v>
      </c>
      <c r="AB20" s="79">
        <f t="shared" si="3"/>
        <v>0</v>
      </c>
    </row>
    <row r="21" spans="1:28" ht="15" x14ac:dyDescent="0.2">
      <c r="A21" s="62"/>
      <c r="B21" s="47"/>
      <c r="C21" s="47"/>
      <c r="D21" s="47"/>
      <c r="E21" s="47"/>
      <c r="F21" s="48"/>
      <c r="G21" s="47"/>
      <c r="H21" s="49"/>
      <c r="I21" s="63"/>
      <c r="J21" s="51"/>
      <c r="K21" s="52"/>
      <c r="L21" s="53"/>
      <c r="M21" s="54"/>
      <c r="N21" s="55"/>
      <c r="O21" s="64"/>
      <c r="P21" s="64"/>
      <c r="Q21" s="64"/>
      <c r="R21" s="57"/>
      <c r="S21" s="58"/>
      <c r="T21" s="57"/>
      <c r="U21" s="59"/>
      <c r="V21" s="42">
        <f t="shared" si="0"/>
        <v>0</v>
      </c>
      <c r="W21" s="60">
        <f t="shared" si="1"/>
        <v>0</v>
      </c>
      <c r="X21" s="44">
        <f t="shared" si="2"/>
        <v>0</v>
      </c>
      <c r="Z21" s="75" t="s">
        <v>19</v>
      </c>
      <c r="AA21" s="78">
        <f>SUMPRODUCT(M3:M300,T3:T300)</f>
        <v>0</v>
      </c>
      <c r="AB21" s="79">
        <f t="shared" si="3"/>
        <v>0</v>
      </c>
    </row>
    <row r="22" spans="1:28" ht="15" x14ac:dyDescent="0.2">
      <c r="A22" s="62"/>
      <c r="B22" s="47"/>
      <c r="C22" s="47"/>
      <c r="D22" s="47"/>
      <c r="E22" s="47"/>
      <c r="F22" s="48"/>
      <c r="G22" s="47"/>
      <c r="H22" s="49"/>
      <c r="I22" s="63"/>
      <c r="J22" s="51"/>
      <c r="K22" s="52"/>
      <c r="L22" s="53"/>
      <c r="M22" s="54"/>
      <c r="N22" s="55"/>
      <c r="O22" s="64"/>
      <c r="P22" s="64"/>
      <c r="Q22" s="64"/>
      <c r="R22" s="57"/>
      <c r="S22" s="58"/>
      <c r="T22" s="57"/>
      <c r="U22" s="59"/>
      <c r="V22" s="42">
        <f t="shared" si="0"/>
        <v>0</v>
      </c>
      <c r="W22" s="60">
        <f t="shared" si="1"/>
        <v>0</v>
      </c>
      <c r="X22" s="44">
        <f t="shared" si="2"/>
        <v>0</v>
      </c>
      <c r="Z22" s="75" t="s">
        <v>21</v>
      </c>
      <c r="AA22" s="78">
        <f>SUM(W3:W300)</f>
        <v>0</v>
      </c>
      <c r="AB22" s="79">
        <f t="shared" si="3"/>
        <v>0</v>
      </c>
    </row>
    <row r="23" spans="1:28" ht="15.75" x14ac:dyDescent="0.2">
      <c r="A23" s="45"/>
      <c r="B23" s="46"/>
      <c r="C23" s="46"/>
      <c r="D23" s="46"/>
      <c r="E23" s="47"/>
      <c r="F23" s="48"/>
      <c r="G23" s="47"/>
      <c r="H23" s="49"/>
      <c r="I23" s="50"/>
      <c r="J23" s="51"/>
      <c r="K23" s="52"/>
      <c r="L23" s="53"/>
      <c r="M23" s="54"/>
      <c r="N23" s="55"/>
      <c r="O23" s="56"/>
      <c r="P23" s="56"/>
      <c r="Q23" s="56"/>
      <c r="R23" s="57"/>
      <c r="S23" s="58"/>
      <c r="T23" s="57"/>
      <c r="U23" s="59"/>
      <c r="V23" s="42">
        <f t="shared" si="0"/>
        <v>0</v>
      </c>
      <c r="W23" s="60">
        <f t="shared" si="1"/>
        <v>0</v>
      </c>
      <c r="X23" s="44">
        <f t="shared" si="2"/>
        <v>0</v>
      </c>
      <c r="Z23" s="75" t="s">
        <v>20</v>
      </c>
      <c r="AA23" s="78">
        <f>SUMPRODUCT(U3:U300,M3:M300)</f>
        <v>0</v>
      </c>
      <c r="AB23" s="79">
        <f t="shared" si="3"/>
        <v>0</v>
      </c>
    </row>
    <row r="24" spans="1:28" ht="16.5" thickBot="1" x14ac:dyDescent="0.25">
      <c r="A24" s="45"/>
      <c r="B24" s="46"/>
      <c r="C24" s="46"/>
      <c r="D24" s="46"/>
      <c r="E24" s="47"/>
      <c r="F24" s="48"/>
      <c r="G24" s="47"/>
      <c r="H24" s="49"/>
      <c r="I24" s="50"/>
      <c r="J24" s="51"/>
      <c r="K24" s="52"/>
      <c r="L24" s="53"/>
      <c r="M24" s="54"/>
      <c r="N24" s="55"/>
      <c r="O24" s="56"/>
      <c r="P24" s="56"/>
      <c r="Q24" s="56"/>
      <c r="R24" s="57"/>
      <c r="S24" s="58"/>
      <c r="T24" s="57"/>
      <c r="U24" s="59"/>
      <c r="V24" s="42">
        <f t="shared" si="0"/>
        <v>0</v>
      </c>
      <c r="W24" s="60">
        <f t="shared" si="1"/>
        <v>0</v>
      </c>
      <c r="X24" s="44">
        <f t="shared" si="2"/>
        <v>0</v>
      </c>
      <c r="Z24" s="80" t="s">
        <v>31</v>
      </c>
      <c r="AA24" s="81">
        <f>AA8</f>
        <v>0</v>
      </c>
      <c r="AB24" s="82">
        <f t="shared" si="3"/>
        <v>0</v>
      </c>
    </row>
    <row r="25" spans="1:28" ht="16.5" thickBot="1" x14ac:dyDescent="0.25">
      <c r="A25" s="45"/>
      <c r="B25" s="46"/>
      <c r="C25" s="46"/>
      <c r="D25" s="46"/>
      <c r="E25" s="47"/>
      <c r="F25" s="48"/>
      <c r="G25" s="47"/>
      <c r="H25" s="49"/>
      <c r="I25" s="50"/>
      <c r="J25" s="51"/>
      <c r="K25" s="52"/>
      <c r="L25" s="53"/>
      <c r="M25" s="54"/>
      <c r="N25" s="55"/>
      <c r="O25" s="56"/>
      <c r="P25" s="56"/>
      <c r="Q25" s="56"/>
      <c r="R25" s="57"/>
      <c r="S25" s="58"/>
      <c r="T25" s="57"/>
      <c r="U25" s="59"/>
      <c r="V25" s="42">
        <f t="shared" si="0"/>
        <v>0</v>
      </c>
      <c r="W25" s="60">
        <f t="shared" si="1"/>
        <v>0</v>
      </c>
      <c r="X25" s="44">
        <f t="shared" si="2"/>
        <v>0</v>
      </c>
      <c r="Z25" s="159" t="s">
        <v>36</v>
      </c>
      <c r="AA25" s="160"/>
      <c r="AB25" s="83">
        <f>SUM(AB15:AB24)</f>
        <v>0</v>
      </c>
    </row>
    <row r="26" spans="1:28" ht="16.5" thickBot="1" x14ac:dyDescent="0.25">
      <c r="A26" s="45"/>
      <c r="B26" s="46"/>
      <c r="C26" s="46"/>
      <c r="D26" s="46"/>
      <c r="E26" s="47"/>
      <c r="F26" s="48"/>
      <c r="G26" s="47"/>
      <c r="H26" s="49"/>
      <c r="I26" s="63"/>
      <c r="J26" s="51"/>
      <c r="K26" s="52"/>
      <c r="L26" s="53"/>
      <c r="M26" s="54"/>
      <c r="N26" s="55"/>
      <c r="O26" s="56"/>
      <c r="P26" s="56"/>
      <c r="Q26" s="56"/>
      <c r="R26" s="57"/>
      <c r="S26" s="58"/>
      <c r="T26" s="57"/>
      <c r="U26" s="59"/>
      <c r="V26" s="42">
        <f t="shared" si="0"/>
        <v>0</v>
      </c>
      <c r="W26" s="60">
        <f t="shared" si="1"/>
        <v>0</v>
      </c>
      <c r="X26" s="44">
        <f t="shared" si="2"/>
        <v>0</v>
      </c>
      <c r="Z26" s="68"/>
      <c r="AA26" s="68"/>
      <c r="AB26" s="68"/>
    </row>
    <row r="27" spans="1:28" ht="15.75" x14ac:dyDescent="0.2">
      <c r="A27" s="45"/>
      <c r="B27" s="46"/>
      <c r="C27" s="46"/>
      <c r="D27" s="46"/>
      <c r="E27" s="47"/>
      <c r="F27" s="48"/>
      <c r="G27" s="47"/>
      <c r="H27" s="49"/>
      <c r="I27" s="50"/>
      <c r="J27" s="51"/>
      <c r="K27" s="52"/>
      <c r="L27" s="53"/>
      <c r="M27" s="54"/>
      <c r="N27" s="55"/>
      <c r="O27" s="56"/>
      <c r="P27" s="56"/>
      <c r="Q27" s="56"/>
      <c r="R27" s="57"/>
      <c r="S27" s="58"/>
      <c r="T27" s="57"/>
      <c r="U27" s="59"/>
      <c r="V27" s="42">
        <f t="shared" si="0"/>
        <v>0</v>
      </c>
      <c r="W27" s="60">
        <f t="shared" si="1"/>
        <v>0</v>
      </c>
      <c r="X27" s="44">
        <f t="shared" si="2"/>
        <v>0</v>
      </c>
      <c r="Z27" s="161" t="s">
        <v>37</v>
      </c>
      <c r="AA27" s="162"/>
      <c r="AB27" s="163"/>
    </row>
    <row r="28" spans="1:28" ht="15.75" x14ac:dyDescent="0.2">
      <c r="A28" s="45"/>
      <c r="B28" s="46"/>
      <c r="C28" s="46"/>
      <c r="D28" s="46"/>
      <c r="E28" s="47"/>
      <c r="F28" s="48"/>
      <c r="G28" s="47"/>
      <c r="H28" s="49"/>
      <c r="I28" s="63"/>
      <c r="J28" s="51"/>
      <c r="K28" s="52"/>
      <c r="L28" s="53"/>
      <c r="M28" s="54"/>
      <c r="N28" s="55"/>
      <c r="O28" s="56"/>
      <c r="P28" s="56"/>
      <c r="Q28" s="56"/>
      <c r="R28" s="57"/>
      <c r="S28" s="58"/>
      <c r="T28" s="57"/>
      <c r="U28" s="59"/>
      <c r="V28" s="42">
        <f t="shared" si="0"/>
        <v>0</v>
      </c>
      <c r="W28" s="60">
        <f t="shared" si="1"/>
        <v>0</v>
      </c>
      <c r="X28" s="44">
        <f t="shared" si="2"/>
        <v>0</v>
      </c>
      <c r="Z28" s="84" t="s">
        <v>38</v>
      </c>
      <c r="AA28" s="126">
        <v>1.5</v>
      </c>
      <c r="AB28" s="127"/>
    </row>
    <row r="29" spans="1:28" ht="15.75" x14ac:dyDescent="0.2">
      <c r="A29" s="45"/>
      <c r="B29" s="46"/>
      <c r="C29" s="46"/>
      <c r="D29" s="46"/>
      <c r="E29" s="47"/>
      <c r="F29" s="48"/>
      <c r="G29" s="47"/>
      <c r="H29" s="49"/>
      <c r="I29" s="50"/>
      <c r="J29" s="51"/>
      <c r="K29" s="52"/>
      <c r="L29" s="53"/>
      <c r="M29" s="54"/>
      <c r="N29" s="55"/>
      <c r="O29" s="56"/>
      <c r="P29" s="56"/>
      <c r="Q29" s="56"/>
      <c r="R29" s="57"/>
      <c r="S29" s="58"/>
      <c r="T29" s="57"/>
      <c r="U29" s="59"/>
      <c r="V29" s="42">
        <f t="shared" si="0"/>
        <v>0</v>
      </c>
      <c r="W29" s="60">
        <f t="shared" si="1"/>
        <v>0</v>
      </c>
      <c r="X29" s="44">
        <f t="shared" si="2"/>
        <v>0</v>
      </c>
      <c r="Z29" s="84" t="s">
        <v>39</v>
      </c>
      <c r="AA29" s="126">
        <v>31</v>
      </c>
      <c r="AB29" s="127"/>
    </row>
    <row r="30" spans="1:28" ht="15.75" x14ac:dyDescent="0.2">
      <c r="A30" s="45"/>
      <c r="B30" s="46"/>
      <c r="C30" s="46"/>
      <c r="D30" s="46"/>
      <c r="E30" s="47"/>
      <c r="F30" s="48"/>
      <c r="G30" s="47"/>
      <c r="H30" s="49"/>
      <c r="I30" s="50"/>
      <c r="J30" s="51"/>
      <c r="K30" s="52"/>
      <c r="L30" s="53"/>
      <c r="M30" s="54"/>
      <c r="N30" s="55"/>
      <c r="O30" s="56"/>
      <c r="P30" s="56"/>
      <c r="Q30" s="56"/>
      <c r="R30" s="57"/>
      <c r="S30" s="58"/>
      <c r="T30" s="57"/>
      <c r="U30" s="59"/>
      <c r="V30" s="42">
        <f>IF(ISBLANK(L30),0,IF(L30=0,0,IF(L30&gt;0,1)))</f>
        <v>0</v>
      </c>
      <c r="W30" s="60">
        <f>V30*M30</f>
        <v>0</v>
      </c>
      <c r="X30" s="44">
        <f t="shared" si="2"/>
        <v>0</v>
      </c>
      <c r="Z30" s="84" t="s">
        <v>15</v>
      </c>
      <c r="AA30" s="126">
        <v>18</v>
      </c>
      <c r="AB30" s="127"/>
    </row>
    <row r="31" spans="1:28" ht="15.75" x14ac:dyDescent="0.2">
      <c r="A31" s="45"/>
      <c r="B31" s="46"/>
      <c r="C31" s="46"/>
      <c r="D31" s="46"/>
      <c r="E31" s="47"/>
      <c r="F31" s="48"/>
      <c r="G31" s="47"/>
      <c r="H31" s="49"/>
      <c r="I31" s="50"/>
      <c r="J31" s="51"/>
      <c r="K31" s="52"/>
      <c r="L31" s="53"/>
      <c r="M31" s="54"/>
      <c r="N31" s="55"/>
      <c r="O31" s="56"/>
      <c r="P31" s="56"/>
      <c r="Q31" s="56"/>
      <c r="R31" s="57"/>
      <c r="S31" s="58"/>
      <c r="T31" s="57"/>
      <c r="U31" s="59"/>
      <c r="V31" s="42">
        <f>IF(ISBLANK(L31),0,IF(L31=0,0,IF(L31&gt;0,1)))</f>
        <v>0</v>
      </c>
      <c r="W31" s="60">
        <f>V31*M31</f>
        <v>0</v>
      </c>
      <c r="X31" s="44">
        <f t="shared" si="2"/>
        <v>0</v>
      </c>
      <c r="Z31" s="84" t="s">
        <v>16</v>
      </c>
      <c r="AA31" s="126">
        <v>35</v>
      </c>
      <c r="AB31" s="127"/>
    </row>
    <row r="32" spans="1:28" ht="15.75" x14ac:dyDescent="0.2">
      <c r="A32" s="62"/>
      <c r="B32" s="47"/>
      <c r="C32" s="47"/>
      <c r="D32" s="47"/>
      <c r="E32" s="47"/>
      <c r="F32" s="48"/>
      <c r="G32" s="47"/>
      <c r="H32" s="49"/>
      <c r="I32" s="50"/>
      <c r="J32" s="51"/>
      <c r="K32" s="52"/>
      <c r="L32" s="53"/>
      <c r="M32" s="67"/>
      <c r="N32" s="55"/>
      <c r="O32" s="56"/>
      <c r="P32" s="56"/>
      <c r="Q32" s="56"/>
      <c r="R32" s="57"/>
      <c r="S32" s="58"/>
      <c r="T32" s="57"/>
      <c r="U32" s="59"/>
      <c r="V32" s="42">
        <f t="shared" si="0"/>
        <v>0</v>
      </c>
      <c r="W32" s="60">
        <f t="shared" si="1"/>
        <v>0</v>
      </c>
      <c r="X32" s="44">
        <f t="shared" si="2"/>
        <v>0</v>
      </c>
      <c r="Z32" s="84" t="s">
        <v>17</v>
      </c>
      <c r="AA32" s="85">
        <v>0.1</v>
      </c>
      <c r="AB32" s="86" t="s">
        <v>40</v>
      </c>
    </row>
    <row r="33" spans="1:28" ht="15" x14ac:dyDescent="0.2">
      <c r="A33" s="62"/>
      <c r="B33" s="47"/>
      <c r="C33" s="47"/>
      <c r="D33" s="47"/>
      <c r="E33" s="47"/>
      <c r="F33" s="48"/>
      <c r="G33" s="47"/>
      <c r="H33" s="49"/>
      <c r="I33" s="63"/>
      <c r="J33" s="51"/>
      <c r="K33" s="52"/>
      <c r="L33" s="53"/>
      <c r="M33" s="54"/>
      <c r="N33" s="55"/>
      <c r="O33" s="64"/>
      <c r="P33" s="64"/>
      <c r="Q33" s="64"/>
      <c r="R33" s="57"/>
      <c r="S33" s="58"/>
      <c r="T33" s="57"/>
      <c r="U33" s="59"/>
      <c r="V33" s="42">
        <f t="shared" si="0"/>
        <v>0</v>
      </c>
      <c r="W33" s="60">
        <f t="shared" si="1"/>
        <v>0</v>
      </c>
      <c r="X33" s="44">
        <f t="shared" si="2"/>
        <v>0</v>
      </c>
      <c r="Z33" s="84" t="s">
        <v>18</v>
      </c>
      <c r="AA33" s="85">
        <v>1.65</v>
      </c>
      <c r="AB33" s="86" t="s">
        <v>40</v>
      </c>
    </row>
    <row r="34" spans="1:28" ht="15" x14ac:dyDescent="0.2">
      <c r="A34" s="62"/>
      <c r="B34" s="47"/>
      <c r="C34" s="47"/>
      <c r="D34" s="47"/>
      <c r="E34" s="47"/>
      <c r="F34" s="48"/>
      <c r="G34" s="47"/>
      <c r="H34" s="49"/>
      <c r="I34" s="63"/>
      <c r="J34" s="51"/>
      <c r="K34" s="52"/>
      <c r="L34" s="53"/>
      <c r="M34" s="54"/>
      <c r="N34" s="55"/>
      <c r="O34" s="64"/>
      <c r="P34" s="64"/>
      <c r="Q34" s="64"/>
      <c r="R34" s="57"/>
      <c r="S34" s="58"/>
      <c r="T34" s="57"/>
      <c r="U34" s="59"/>
      <c r="V34" s="42">
        <f t="shared" si="0"/>
        <v>0</v>
      </c>
      <c r="W34" s="60">
        <f t="shared" si="1"/>
        <v>0</v>
      </c>
      <c r="X34" s="44">
        <f t="shared" si="2"/>
        <v>0</v>
      </c>
      <c r="Z34" s="84" t="s">
        <v>19</v>
      </c>
      <c r="AA34" s="85">
        <v>2.8</v>
      </c>
      <c r="AB34" s="86" t="s">
        <v>40</v>
      </c>
    </row>
    <row r="35" spans="1:28" ht="15.75" x14ac:dyDescent="0.2">
      <c r="A35" s="45"/>
      <c r="B35" s="46"/>
      <c r="C35" s="46"/>
      <c r="D35" s="46"/>
      <c r="E35" s="47"/>
      <c r="F35" s="48"/>
      <c r="G35" s="47"/>
      <c r="H35" s="49"/>
      <c r="I35" s="50"/>
      <c r="J35" s="51"/>
      <c r="K35" s="52"/>
      <c r="L35" s="53"/>
      <c r="M35" s="54"/>
      <c r="N35" s="55"/>
      <c r="O35" s="56"/>
      <c r="P35" s="56"/>
      <c r="Q35" s="56"/>
      <c r="R35" s="57"/>
      <c r="S35" s="58"/>
      <c r="T35" s="57"/>
      <c r="U35" s="59"/>
      <c r="V35" s="42">
        <f t="shared" si="0"/>
        <v>0</v>
      </c>
      <c r="W35" s="60">
        <f t="shared" si="1"/>
        <v>0</v>
      </c>
      <c r="X35" s="44">
        <f t="shared" si="2"/>
        <v>0</v>
      </c>
      <c r="Z35" s="84" t="s">
        <v>21</v>
      </c>
      <c r="AA35" s="85">
        <v>0.12</v>
      </c>
      <c r="AB35" s="86" t="s">
        <v>40</v>
      </c>
    </row>
    <row r="36" spans="1:28" ht="15.75" x14ac:dyDescent="0.2">
      <c r="A36" s="45"/>
      <c r="B36" s="46"/>
      <c r="C36" s="46"/>
      <c r="D36" s="46"/>
      <c r="E36" s="47"/>
      <c r="F36" s="48"/>
      <c r="G36" s="47"/>
      <c r="H36" s="49"/>
      <c r="I36" s="50"/>
      <c r="J36" s="51"/>
      <c r="K36" s="52"/>
      <c r="L36" s="53"/>
      <c r="M36" s="71"/>
      <c r="N36" s="55"/>
      <c r="O36" s="56"/>
      <c r="P36" s="56"/>
      <c r="Q36" s="56"/>
      <c r="R36" s="57"/>
      <c r="S36" s="58"/>
      <c r="T36" s="57"/>
      <c r="U36" s="59"/>
      <c r="V36" s="42">
        <f t="shared" si="0"/>
        <v>0</v>
      </c>
      <c r="W36" s="60">
        <f t="shared" si="1"/>
        <v>0</v>
      </c>
      <c r="X36" s="44">
        <f t="shared" si="2"/>
        <v>0</v>
      </c>
      <c r="Z36" s="84" t="s">
        <v>20</v>
      </c>
      <c r="AA36" s="87">
        <v>0.15</v>
      </c>
      <c r="AB36" s="88" t="s">
        <v>40</v>
      </c>
    </row>
    <row r="37" spans="1:28" ht="16.5" thickBot="1" x14ac:dyDescent="0.25">
      <c r="A37" s="45"/>
      <c r="B37" s="46"/>
      <c r="C37" s="46"/>
      <c r="D37" s="46"/>
      <c r="E37" s="47"/>
      <c r="F37" s="48"/>
      <c r="G37" s="47"/>
      <c r="H37" s="49"/>
      <c r="I37" s="50"/>
      <c r="J37" s="51"/>
      <c r="K37" s="52"/>
      <c r="L37" s="53"/>
      <c r="M37" s="54"/>
      <c r="N37" s="55"/>
      <c r="O37" s="56"/>
      <c r="P37" s="56"/>
      <c r="Q37" s="56"/>
      <c r="R37" s="57"/>
      <c r="S37" s="58"/>
      <c r="T37" s="57"/>
      <c r="U37" s="59"/>
      <c r="V37" s="42">
        <f t="shared" si="0"/>
        <v>0</v>
      </c>
      <c r="W37" s="60">
        <f t="shared" si="1"/>
        <v>0</v>
      </c>
      <c r="X37" s="44">
        <f t="shared" si="2"/>
        <v>0</v>
      </c>
      <c r="Z37" s="89" t="s">
        <v>31</v>
      </c>
      <c r="AA37" s="128">
        <v>80</v>
      </c>
      <c r="AB37" s="129"/>
    </row>
    <row r="38" spans="1:28" ht="15.75" thickBot="1" x14ac:dyDescent="0.25">
      <c r="A38" s="62"/>
      <c r="B38" s="47"/>
      <c r="C38" s="47"/>
      <c r="D38" s="47"/>
      <c r="E38" s="47"/>
      <c r="F38" s="48"/>
      <c r="G38" s="47"/>
      <c r="H38" s="49"/>
      <c r="I38" s="63"/>
      <c r="J38" s="51"/>
      <c r="K38" s="52"/>
      <c r="L38" s="53"/>
      <c r="M38" s="54"/>
      <c r="N38" s="55"/>
      <c r="O38" s="64"/>
      <c r="P38" s="64"/>
      <c r="Q38" s="64"/>
      <c r="R38" s="57"/>
      <c r="S38" s="58"/>
      <c r="T38" s="57"/>
      <c r="U38" s="59"/>
      <c r="V38" s="42">
        <f t="shared" si="0"/>
        <v>0</v>
      </c>
      <c r="W38" s="60">
        <f t="shared" si="1"/>
        <v>0</v>
      </c>
      <c r="X38" s="44">
        <f t="shared" si="2"/>
        <v>0</v>
      </c>
    </row>
    <row r="39" spans="1:28" ht="15.75" x14ac:dyDescent="0.2">
      <c r="A39" s="45"/>
      <c r="B39" s="46"/>
      <c r="C39" s="46"/>
      <c r="D39" s="46"/>
      <c r="E39" s="47"/>
      <c r="F39" s="48"/>
      <c r="G39" s="47"/>
      <c r="H39" s="49"/>
      <c r="I39" s="50"/>
      <c r="J39" s="51"/>
      <c r="K39" s="52"/>
      <c r="L39" s="53"/>
      <c r="M39" s="71"/>
      <c r="N39" s="55"/>
      <c r="O39" s="56"/>
      <c r="P39" s="56"/>
      <c r="Q39" s="56"/>
      <c r="R39" s="57"/>
      <c r="S39" s="58"/>
      <c r="T39" s="57"/>
      <c r="U39" s="59"/>
      <c r="V39" s="42">
        <f t="shared" si="0"/>
        <v>0</v>
      </c>
      <c r="W39" s="60">
        <f t="shared" si="1"/>
        <v>0</v>
      </c>
      <c r="X39" s="44">
        <f t="shared" si="2"/>
        <v>0</v>
      </c>
      <c r="Z39" s="136" t="s">
        <v>41</v>
      </c>
      <c r="AA39" s="137"/>
      <c r="AB39" s="138"/>
    </row>
    <row r="40" spans="1:28" ht="15.75" x14ac:dyDescent="0.2">
      <c r="A40" s="45"/>
      <c r="B40" s="46"/>
      <c r="C40" s="46"/>
      <c r="D40" s="46"/>
      <c r="E40" s="47"/>
      <c r="F40" s="48"/>
      <c r="G40" s="47"/>
      <c r="H40" s="49"/>
      <c r="I40" s="50"/>
      <c r="J40" s="51"/>
      <c r="K40" s="52"/>
      <c r="L40" s="53"/>
      <c r="M40" s="71"/>
      <c r="N40" s="55"/>
      <c r="O40" s="56"/>
      <c r="P40" s="56"/>
      <c r="Q40" s="56"/>
      <c r="R40" s="57"/>
      <c r="S40" s="58"/>
      <c r="T40" s="57"/>
      <c r="U40" s="59"/>
      <c r="V40" s="42">
        <f t="shared" si="0"/>
        <v>0</v>
      </c>
      <c r="W40" s="60">
        <f t="shared" si="1"/>
        <v>0</v>
      </c>
      <c r="X40" s="44">
        <f t="shared" si="2"/>
        <v>0</v>
      </c>
      <c r="Z40" s="139" t="s">
        <v>42</v>
      </c>
      <c r="AA40" s="140"/>
      <c r="AB40" s="141"/>
    </row>
    <row r="41" spans="1:28" ht="15" x14ac:dyDescent="0.2">
      <c r="A41" s="62"/>
      <c r="B41" s="47"/>
      <c r="C41" s="47"/>
      <c r="D41" s="47"/>
      <c r="E41" s="47"/>
      <c r="F41" s="48"/>
      <c r="G41" s="47"/>
      <c r="H41" s="49"/>
      <c r="I41" s="63"/>
      <c r="J41" s="51"/>
      <c r="K41" s="52"/>
      <c r="L41" s="53"/>
      <c r="M41" s="54"/>
      <c r="N41" s="55"/>
      <c r="O41" s="64"/>
      <c r="P41" s="64"/>
      <c r="Q41" s="64"/>
      <c r="R41" s="57"/>
      <c r="S41" s="58"/>
      <c r="T41" s="57"/>
      <c r="U41" s="59"/>
      <c r="V41" s="42">
        <f t="shared" si="0"/>
        <v>0</v>
      </c>
      <c r="W41" s="60">
        <f t="shared" si="1"/>
        <v>0</v>
      </c>
      <c r="X41" s="44">
        <f t="shared" si="2"/>
        <v>0</v>
      </c>
      <c r="Z41" s="139"/>
      <c r="AA41" s="140"/>
      <c r="AB41" s="141"/>
    </row>
    <row r="42" spans="1:28" ht="15.75" x14ac:dyDescent="0.2">
      <c r="A42" s="45"/>
      <c r="B42" s="46"/>
      <c r="C42" s="46"/>
      <c r="D42" s="46"/>
      <c r="E42" s="47"/>
      <c r="F42" s="48"/>
      <c r="G42" s="47"/>
      <c r="H42" s="49"/>
      <c r="I42" s="50"/>
      <c r="J42" s="51"/>
      <c r="K42" s="52"/>
      <c r="L42" s="53"/>
      <c r="M42" s="54"/>
      <c r="N42" s="55"/>
      <c r="O42" s="56"/>
      <c r="P42" s="56"/>
      <c r="Q42" s="56"/>
      <c r="R42" s="57"/>
      <c r="S42" s="58"/>
      <c r="T42" s="57"/>
      <c r="U42" s="59"/>
      <c r="V42" s="42">
        <f t="shared" si="0"/>
        <v>0</v>
      </c>
      <c r="W42" s="60">
        <f t="shared" si="1"/>
        <v>0</v>
      </c>
      <c r="X42" s="44">
        <f t="shared" si="2"/>
        <v>0</v>
      </c>
      <c r="Z42" s="142" t="s">
        <v>43</v>
      </c>
      <c r="AA42" s="143"/>
      <c r="AB42" s="144"/>
    </row>
    <row r="43" spans="1:28" ht="15.75" x14ac:dyDescent="0.2">
      <c r="A43" s="45"/>
      <c r="B43" s="46"/>
      <c r="C43" s="46"/>
      <c r="D43" s="46"/>
      <c r="E43" s="47"/>
      <c r="F43" s="48"/>
      <c r="G43" s="47"/>
      <c r="H43" s="49"/>
      <c r="I43" s="50"/>
      <c r="J43" s="51"/>
      <c r="K43" s="52"/>
      <c r="L43" s="53"/>
      <c r="M43" s="71"/>
      <c r="N43" s="55"/>
      <c r="O43" s="56"/>
      <c r="P43" s="56"/>
      <c r="Q43" s="56"/>
      <c r="R43" s="57"/>
      <c r="S43" s="58"/>
      <c r="T43" s="57"/>
      <c r="U43" s="59"/>
      <c r="V43" s="42">
        <f t="shared" si="0"/>
        <v>0</v>
      </c>
      <c r="W43" s="60">
        <f t="shared" si="1"/>
        <v>0</v>
      </c>
      <c r="X43" s="44">
        <f t="shared" si="2"/>
        <v>0</v>
      </c>
      <c r="Z43" s="142"/>
      <c r="AA43" s="143"/>
      <c r="AB43" s="144"/>
    </row>
    <row r="44" spans="1:28" ht="15.75" x14ac:dyDescent="0.2">
      <c r="A44" s="45"/>
      <c r="B44" s="46"/>
      <c r="C44" s="46"/>
      <c r="D44" s="46"/>
      <c r="E44" s="47"/>
      <c r="F44" s="48"/>
      <c r="G44" s="47"/>
      <c r="H44" s="49"/>
      <c r="I44" s="50"/>
      <c r="J44" s="51"/>
      <c r="K44" s="52"/>
      <c r="L44" s="53"/>
      <c r="M44" s="54"/>
      <c r="N44" s="55"/>
      <c r="O44" s="56"/>
      <c r="P44" s="56"/>
      <c r="Q44" s="56"/>
      <c r="R44" s="57"/>
      <c r="S44" s="58"/>
      <c r="T44" s="57"/>
      <c r="U44" s="59"/>
      <c r="V44" s="42">
        <f t="shared" si="0"/>
        <v>0</v>
      </c>
      <c r="W44" s="60">
        <f t="shared" si="1"/>
        <v>0</v>
      </c>
      <c r="X44" s="44">
        <f t="shared" si="2"/>
        <v>0</v>
      </c>
      <c r="Z44" s="139" t="s">
        <v>44</v>
      </c>
      <c r="AA44" s="140"/>
      <c r="AB44" s="141"/>
    </row>
    <row r="45" spans="1:28" ht="15.75" x14ac:dyDescent="0.2">
      <c r="A45" s="45"/>
      <c r="B45" s="46"/>
      <c r="C45" s="46"/>
      <c r="D45" s="46"/>
      <c r="E45" s="47"/>
      <c r="F45" s="48"/>
      <c r="G45" s="47"/>
      <c r="H45" s="49"/>
      <c r="I45" s="50"/>
      <c r="J45" s="51"/>
      <c r="K45" s="52"/>
      <c r="L45" s="53"/>
      <c r="M45" s="71"/>
      <c r="N45" s="55"/>
      <c r="O45" s="56"/>
      <c r="P45" s="56"/>
      <c r="Q45" s="56"/>
      <c r="R45" s="57"/>
      <c r="S45" s="58"/>
      <c r="T45" s="57"/>
      <c r="U45" s="59"/>
      <c r="V45" s="42">
        <f t="shared" si="0"/>
        <v>0</v>
      </c>
      <c r="W45" s="60">
        <f t="shared" si="1"/>
        <v>0</v>
      </c>
      <c r="X45" s="44">
        <f t="shared" si="2"/>
        <v>0</v>
      </c>
      <c r="Z45" s="145"/>
      <c r="AA45" s="146"/>
      <c r="AB45" s="147"/>
    </row>
    <row r="46" spans="1:28" ht="15" x14ac:dyDescent="0.2">
      <c r="A46" s="62"/>
      <c r="B46" s="47"/>
      <c r="C46" s="47"/>
      <c r="D46" s="47"/>
      <c r="E46" s="47"/>
      <c r="F46" s="48"/>
      <c r="G46" s="47"/>
      <c r="H46" s="49"/>
      <c r="I46" s="63"/>
      <c r="J46" s="51"/>
      <c r="K46" s="52"/>
      <c r="L46" s="53"/>
      <c r="M46" s="54"/>
      <c r="N46" s="55"/>
      <c r="O46" s="64"/>
      <c r="P46" s="64"/>
      <c r="Q46" s="64"/>
      <c r="R46" s="57"/>
      <c r="S46" s="58"/>
      <c r="T46" s="57"/>
      <c r="U46" s="59"/>
      <c r="V46" s="42">
        <f t="shared" si="0"/>
        <v>0</v>
      </c>
      <c r="W46" s="60">
        <f t="shared" si="1"/>
        <v>0</v>
      </c>
      <c r="X46" s="44">
        <f t="shared" si="2"/>
        <v>0</v>
      </c>
      <c r="Z46" s="130" t="s">
        <v>45</v>
      </c>
      <c r="AA46" s="131"/>
      <c r="AB46" s="132"/>
    </row>
    <row r="47" spans="1:28" ht="16.5" thickBot="1" x14ac:dyDescent="0.25">
      <c r="A47" s="62"/>
      <c r="B47" s="47"/>
      <c r="C47" s="47"/>
      <c r="D47" s="47"/>
      <c r="E47" s="47"/>
      <c r="F47" s="48"/>
      <c r="G47" s="47"/>
      <c r="H47" s="49"/>
      <c r="I47" s="50"/>
      <c r="J47" s="51"/>
      <c r="K47" s="52"/>
      <c r="L47" s="53"/>
      <c r="M47" s="67"/>
      <c r="N47" s="55"/>
      <c r="O47" s="56"/>
      <c r="P47" s="56"/>
      <c r="Q47" s="56"/>
      <c r="R47" s="57"/>
      <c r="S47" s="58"/>
      <c r="T47" s="57"/>
      <c r="U47" s="59"/>
      <c r="V47" s="42">
        <f t="shared" si="0"/>
        <v>0</v>
      </c>
      <c r="W47" s="60">
        <f t="shared" si="1"/>
        <v>0</v>
      </c>
      <c r="X47" s="44">
        <f t="shared" si="2"/>
        <v>0</v>
      </c>
      <c r="Z47" s="133"/>
      <c r="AA47" s="134"/>
      <c r="AB47" s="135"/>
    </row>
    <row r="48" spans="1:28" ht="15.75" x14ac:dyDescent="0.2">
      <c r="A48" s="45"/>
      <c r="B48" s="46"/>
      <c r="C48" s="46"/>
      <c r="D48" s="46"/>
      <c r="E48" s="47"/>
      <c r="F48" s="48"/>
      <c r="G48" s="47"/>
      <c r="H48" s="49"/>
      <c r="I48" s="50"/>
      <c r="J48" s="51"/>
      <c r="K48" s="52"/>
      <c r="L48" s="53"/>
      <c r="M48" s="54"/>
      <c r="N48" s="55"/>
      <c r="O48" s="56"/>
      <c r="P48" s="56"/>
      <c r="Q48" s="56"/>
      <c r="R48" s="57"/>
      <c r="S48" s="58"/>
      <c r="T48" s="57"/>
      <c r="U48" s="59"/>
      <c r="V48" s="42">
        <f t="shared" si="0"/>
        <v>0</v>
      </c>
      <c r="W48" s="60">
        <f t="shared" si="1"/>
        <v>0</v>
      </c>
      <c r="X48" s="44">
        <f t="shared" si="2"/>
        <v>0</v>
      </c>
    </row>
    <row r="49" spans="1:28" ht="15.75" x14ac:dyDescent="0.2">
      <c r="A49" s="45"/>
      <c r="B49" s="46"/>
      <c r="C49" s="46"/>
      <c r="D49" s="46"/>
      <c r="E49" s="47"/>
      <c r="F49" s="48"/>
      <c r="G49" s="47"/>
      <c r="H49" s="49"/>
      <c r="I49" s="50"/>
      <c r="J49" s="51"/>
      <c r="K49" s="52"/>
      <c r="L49" s="53"/>
      <c r="M49" s="71"/>
      <c r="N49" s="55"/>
      <c r="O49" s="56"/>
      <c r="P49" s="56"/>
      <c r="Q49" s="56"/>
      <c r="R49" s="57"/>
      <c r="S49" s="58"/>
      <c r="T49" s="57"/>
      <c r="U49" s="59"/>
      <c r="V49" s="42">
        <f t="shared" si="0"/>
        <v>0</v>
      </c>
      <c r="W49" s="60">
        <f t="shared" si="1"/>
        <v>0</v>
      </c>
      <c r="X49" s="44">
        <f t="shared" si="2"/>
        <v>0</v>
      </c>
    </row>
    <row r="50" spans="1:28" ht="15.75" x14ac:dyDescent="0.2">
      <c r="A50" s="62"/>
      <c r="B50" s="47"/>
      <c r="C50" s="47"/>
      <c r="D50" s="47"/>
      <c r="E50" s="47"/>
      <c r="F50" s="48"/>
      <c r="G50" s="47"/>
      <c r="H50" s="49"/>
      <c r="I50" s="50"/>
      <c r="J50" s="51"/>
      <c r="K50" s="52"/>
      <c r="L50" s="53"/>
      <c r="M50" s="90"/>
      <c r="N50" s="55"/>
      <c r="O50" s="56"/>
      <c r="P50" s="56"/>
      <c r="Q50" s="56"/>
      <c r="R50" s="57"/>
      <c r="S50" s="58"/>
      <c r="T50" s="57"/>
      <c r="U50" s="59"/>
      <c r="V50" s="42">
        <f t="shared" si="0"/>
        <v>0</v>
      </c>
      <c r="W50" s="60">
        <f t="shared" si="1"/>
        <v>0</v>
      </c>
      <c r="X50" s="44">
        <f t="shared" si="2"/>
        <v>0</v>
      </c>
    </row>
    <row r="51" spans="1:28" ht="15.75" x14ac:dyDescent="0.2">
      <c r="A51" s="45"/>
      <c r="B51" s="46"/>
      <c r="C51" s="46"/>
      <c r="D51" s="46"/>
      <c r="E51" s="47"/>
      <c r="F51" s="48"/>
      <c r="G51" s="47"/>
      <c r="H51" s="49"/>
      <c r="I51" s="50"/>
      <c r="J51" s="51"/>
      <c r="K51" s="52"/>
      <c r="L51" s="53"/>
      <c r="M51" s="54"/>
      <c r="N51" s="55"/>
      <c r="O51" s="56"/>
      <c r="P51" s="56"/>
      <c r="Q51" s="56"/>
      <c r="R51" s="57"/>
      <c r="S51" s="58"/>
      <c r="T51" s="57"/>
      <c r="U51" s="59"/>
      <c r="V51" s="42">
        <f t="shared" si="0"/>
        <v>0</v>
      </c>
      <c r="W51" s="60">
        <f t="shared" si="1"/>
        <v>0</v>
      </c>
      <c r="X51" s="44">
        <f t="shared" si="2"/>
        <v>0</v>
      </c>
    </row>
    <row r="52" spans="1:28" ht="15" x14ac:dyDescent="0.2">
      <c r="A52" s="62"/>
      <c r="B52" s="47"/>
      <c r="C52" s="47"/>
      <c r="D52" s="47"/>
      <c r="E52" s="47"/>
      <c r="F52" s="48"/>
      <c r="G52" s="47"/>
      <c r="H52" s="49"/>
      <c r="I52" s="63"/>
      <c r="J52" s="51"/>
      <c r="K52" s="52"/>
      <c r="L52" s="53"/>
      <c r="M52" s="54"/>
      <c r="N52" s="55"/>
      <c r="O52" s="64"/>
      <c r="P52" s="64"/>
      <c r="Q52" s="64"/>
      <c r="R52" s="57"/>
      <c r="S52" s="58"/>
      <c r="T52" s="57"/>
      <c r="U52" s="59"/>
      <c r="V52" s="42">
        <f t="shared" si="0"/>
        <v>0</v>
      </c>
      <c r="W52" s="60">
        <f t="shared" si="1"/>
        <v>0</v>
      </c>
      <c r="X52" s="44">
        <f t="shared" si="2"/>
        <v>0</v>
      </c>
    </row>
    <row r="53" spans="1:28" ht="15.75" x14ac:dyDescent="0.2">
      <c r="A53" s="45"/>
      <c r="B53" s="46"/>
      <c r="C53" s="46"/>
      <c r="D53" s="46"/>
      <c r="E53" s="47"/>
      <c r="F53" s="48"/>
      <c r="G53" s="47"/>
      <c r="H53" s="49"/>
      <c r="I53" s="50"/>
      <c r="J53" s="51"/>
      <c r="K53" s="52"/>
      <c r="L53" s="53"/>
      <c r="M53" s="54"/>
      <c r="N53" s="55"/>
      <c r="O53" s="56"/>
      <c r="P53" s="56"/>
      <c r="Q53" s="56"/>
      <c r="R53" s="57"/>
      <c r="S53" s="58"/>
      <c r="T53" s="57"/>
      <c r="U53" s="59"/>
      <c r="V53" s="42">
        <f t="shared" si="0"/>
        <v>0</v>
      </c>
      <c r="W53" s="60">
        <f t="shared" si="1"/>
        <v>0</v>
      </c>
      <c r="X53" s="44">
        <f t="shared" si="2"/>
        <v>0</v>
      </c>
    </row>
    <row r="54" spans="1:28" ht="15" x14ac:dyDescent="0.2">
      <c r="A54" s="62"/>
      <c r="B54" s="47"/>
      <c r="C54" s="47"/>
      <c r="D54" s="47"/>
      <c r="E54" s="47"/>
      <c r="F54" s="48"/>
      <c r="G54" s="47"/>
      <c r="H54" s="49"/>
      <c r="I54" s="63"/>
      <c r="J54" s="51"/>
      <c r="K54" s="52"/>
      <c r="L54" s="53"/>
      <c r="M54" s="54"/>
      <c r="N54" s="55"/>
      <c r="O54" s="64"/>
      <c r="P54" s="64"/>
      <c r="Q54" s="64"/>
      <c r="R54" s="57"/>
      <c r="S54" s="58"/>
      <c r="T54" s="57"/>
      <c r="U54" s="59"/>
      <c r="V54" s="42">
        <f t="shared" si="0"/>
        <v>0</v>
      </c>
      <c r="W54" s="60">
        <f t="shared" si="1"/>
        <v>0</v>
      </c>
      <c r="X54" s="44">
        <f t="shared" si="2"/>
        <v>0</v>
      </c>
    </row>
    <row r="55" spans="1:28" ht="15" x14ac:dyDescent="0.2">
      <c r="A55" s="62"/>
      <c r="B55" s="47"/>
      <c r="C55" s="47"/>
      <c r="D55" s="47"/>
      <c r="E55" s="47"/>
      <c r="F55" s="48"/>
      <c r="G55" s="47"/>
      <c r="H55" s="49"/>
      <c r="I55" s="63"/>
      <c r="J55" s="51"/>
      <c r="K55" s="52"/>
      <c r="L55" s="53"/>
      <c r="M55" s="54"/>
      <c r="N55" s="55"/>
      <c r="O55" s="64"/>
      <c r="P55" s="64"/>
      <c r="Q55" s="64"/>
      <c r="R55" s="57"/>
      <c r="S55" s="58"/>
      <c r="T55" s="57"/>
      <c r="U55" s="59"/>
      <c r="V55" s="42">
        <f t="shared" si="0"/>
        <v>0</v>
      </c>
      <c r="W55" s="60">
        <f t="shared" si="1"/>
        <v>0</v>
      </c>
      <c r="X55" s="44">
        <f t="shared" si="2"/>
        <v>0</v>
      </c>
    </row>
    <row r="56" spans="1:28" ht="15.75" x14ac:dyDescent="0.2">
      <c r="A56" s="45"/>
      <c r="B56" s="46"/>
      <c r="C56" s="46"/>
      <c r="D56" s="46"/>
      <c r="E56" s="47"/>
      <c r="F56" s="48"/>
      <c r="G56" s="47"/>
      <c r="H56" s="49"/>
      <c r="I56" s="50"/>
      <c r="J56" s="51"/>
      <c r="K56" s="52"/>
      <c r="L56" s="53"/>
      <c r="M56" s="54"/>
      <c r="N56" s="55"/>
      <c r="O56" s="56"/>
      <c r="P56" s="56"/>
      <c r="Q56" s="56"/>
      <c r="R56" s="57"/>
      <c r="S56" s="58"/>
      <c r="T56" s="57"/>
      <c r="U56" s="59"/>
      <c r="V56" s="42">
        <f t="shared" si="0"/>
        <v>0</v>
      </c>
      <c r="W56" s="60">
        <f t="shared" si="1"/>
        <v>0</v>
      </c>
      <c r="X56" s="44">
        <f t="shared" si="2"/>
        <v>0</v>
      </c>
    </row>
    <row r="57" spans="1:28" ht="15" x14ac:dyDescent="0.2">
      <c r="A57" s="62"/>
      <c r="B57" s="47"/>
      <c r="C57" s="47"/>
      <c r="D57" s="47"/>
      <c r="E57" s="47"/>
      <c r="F57" s="48"/>
      <c r="G57" s="47"/>
      <c r="H57" s="49"/>
      <c r="I57" s="91"/>
      <c r="J57" s="51"/>
      <c r="K57" s="52"/>
      <c r="L57" s="53"/>
      <c r="M57" s="54"/>
      <c r="N57" s="55"/>
      <c r="O57" s="64"/>
      <c r="P57" s="64"/>
      <c r="Q57" s="64"/>
      <c r="R57" s="57"/>
      <c r="S57" s="57"/>
      <c r="T57" s="57"/>
      <c r="U57" s="59"/>
      <c r="V57" s="42">
        <f t="shared" si="0"/>
        <v>0</v>
      </c>
      <c r="W57" s="60">
        <f t="shared" si="1"/>
        <v>0</v>
      </c>
      <c r="X57" s="44">
        <f t="shared" si="2"/>
        <v>0</v>
      </c>
    </row>
    <row r="58" spans="1:28" ht="15.75" x14ac:dyDescent="0.2">
      <c r="A58" s="45"/>
      <c r="B58" s="46"/>
      <c r="C58" s="46"/>
      <c r="D58" s="46"/>
      <c r="E58" s="47"/>
      <c r="F58" s="48"/>
      <c r="G58" s="47"/>
      <c r="H58" s="49"/>
      <c r="I58" s="46"/>
      <c r="J58" s="51"/>
      <c r="K58" s="52"/>
      <c r="L58" s="53"/>
      <c r="M58" s="54"/>
      <c r="N58" s="55"/>
      <c r="O58" s="56"/>
      <c r="P58" s="56"/>
      <c r="Q58" s="56"/>
      <c r="R58" s="57"/>
      <c r="S58" s="57"/>
      <c r="T58" s="57"/>
      <c r="U58" s="59"/>
      <c r="V58" s="42">
        <f t="shared" si="0"/>
        <v>0</v>
      </c>
      <c r="W58" s="60">
        <f t="shared" si="1"/>
        <v>0</v>
      </c>
      <c r="X58" s="44">
        <f t="shared" si="2"/>
        <v>0</v>
      </c>
      <c r="Y58" s="92"/>
    </row>
    <row r="59" spans="1:28" ht="15" x14ac:dyDescent="0.2">
      <c r="A59" s="62"/>
      <c r="B59" s="47"/>
      <c r="C59" s="47"/>
      <c r="D59" s="47"/>
      <c r="E59" s="47"/>
      <c r="F59" s="48"/>
      <c r="G59" s="47"/>
      <c r="H59" s="49"/>
      <c r="I59" s="91"/>
      <c r="J59" s="51"/>
      <c r="K59" s="52"/>
      <c r="L59" s="53"/>
      <c r="M59" s="54"/>
      <c r="N59" s="55"/>
      <c r="O59" s="64"/>
      <c r="P59" s="64"/>
      <c r="Q59" s="64"/>
      <c r="R59" s="57"/>
      <c r="S59" s="57"/>
      <c r="T59" s="57"/>
      <c r="U59" s="59"/>
      <c r="V59" s="42">
        <f t="shared" si="0"/>
        <v>0</v>
      </c>
      <c r="W59" s="60">
        <f t="shared" si="1"/>
        <v>0</v>
      </c>
      <c r="X59" s="44">
        <f t="shared" si="2"/>
        <v>0</v>
      </c>
    </row>
    <row r="60" spans="1:28" ht="15.75" x14ac:dyDescent="0.2">
      <c r="A60" s="45"/>
      <c r="B60" s="46"/>
      <c r="C60" s="46"/>
      <c r="D60" s="46"/>
      <c r="E60" s="47"/>
      <c r="F60" s="48"/>
      <c r="G60" s="47"/>
      <c r="H60" s="49"/>
      <c r="I60" s="46"/>
      <c r="J60" s="51"/>
      <c r="K60" s="52"/>
      <c r="L60" s="53"/>
      <c r="M60" s="54"/>
      <c r="N60" s="55"/>
      <c r="O60" s="56"/>
      <c r="P60" s="56"/>
      <c r="Q60" s="56"/>
      <c r="R60" s="57"/>
      <c r="S60" s="57"/>
      <c r="T60" s="57"/>
      <c r="U60" s="59"/>
      <c r="V60" s="42">
        <f t="shared" si="0"/>
        <v>0</v>
      </c>
      <c r="W60" s="60">
        <f t="shared" si="1"/>
        <v>0</v>
      </c>
      <c r="X60" s="44">
        <f t="shared" si="2"/>
        <v>0</v>
      </c>
    </row>
    <row r="61" spans="1:28" ht="15.75" x14ac:dyDescent="0.2">
      <c r="A61" s="45"/>
      <c r="B61" s="46"/>
      <c r="C61" s="46"/>
      <c r="D61" s="46"/>
      <c r="E61" s="47"/>
      <c r="F61" s="48"/>
      <c r="G61" s="47"/>
      <c r="H61" s="49"/>
      <c r="I61" s="46"/>
      <c r="J61" s="51"/>
      <c r="K61" s="52"/>
      <c r="L61" s="53"/>
      <c r="M61" s="54"/>
      <c r="N61" s="55"/>
      <c r="O61" s="56"/>
      <c r="P61" s="56"/>
      <c r="Q61" s="56"/>
      <c r="R61" s="57"/>
      <c r="S61" s="57"/>
      <c r="T61" s="57"/>
      <c r="U61" s="59"/>
      <c r="V61" s="42">
        <f t="shared" si="0"/>
        <v>0</v>
      </c>
      <c r="W61" s="60">
        <f t="shared" si="1"/>
        <v>0</v>
      </c>
      <c r="X61" s="44">
        <f t="shared" si="2"/>
        <v>0</v>
      </c>
    </row>
    <row r="62" spans="1:28" ht="15.75" x14ac:dyDescent="0.2">
      <c r="A62" s="45"/>
      <c r="B62" s="46"/>
      <c r="C62" s="46"/>
      <c r="D62" s="46"/>
      <c r="E62" s="47"/>
      <c r="F62" s="48"/>
      <c r="G62" s="47"/>
      <c r="H62" s="49"/>
      <c r="I62" s="46"/>
      <c r="J62" s="51"/>
      <c r="K62" s="52"/>
      <c r="L62" s="53"/>
      <c r="M62" s="71"/>
      <c r="N62" s="55"/>
      <c r="O62" s="56"/>
      <c r="P62" s="56"/>
      <c r="Q62" s="56"/>
      <c r="R62" s="57"/>
      <c r="S62" s="57"/>
      <c r="T62" s="57"/>
      <c r="U62" s="59"/>
      <c r="V62" s="42">
        <f t="shared" si="0"/>
        <v>0</v>
      </c>
      <c r="W62" s="60">
        <f t="shared" si="1"/>
        <v>0</v>
      </c>
      <c r="X62" s="44">
        <f t="shared" si="2"/>
        <v>0</v>
      </c>
    </row>
    <row r="63" spans="1:28" ht="15.75" x14ac:dyDescent="0.2">
      <c r="A63" s="45"/>
      <c r="B63" s="46"/>
      <c r="C63" s="46"/>
      <c r="D63" s="46"/>
      <c r="E63" s="47"/>
      <c r="F63" s="48"/>
      <c r="G63" s="47"/>
      <c r="H63" s="49"/>
      <c r="I63" s="46"/>
      <c r="J63" s="51"/>
      <c r="K63" s="52"/>
      <c r="L63" s="53"/>
      <c r="M63" s="71"/>
      <c r="N63" s="55"/>
      <c r="O63" s="56"/>
      <c r="P63" s="56"/>
      <c r="Q63" s="56"/>
      <c r="R63" s="57"/>
      <c r="S63" s="57"/>
      <c r="T63" s="57"/>
      <c r="U63" s="59"/>
      <c r="V63" s="42">
        <f t="shared" si="0"/>
        <v>0</v>
      </c>
      <c r="W63" s="60">
        <f t="shared" si="1"/>
        <v>0</v>
      </c>
      <c r="X63" s="44">
        <f t="shared" si="2"/>
        <v>0</v>
      </c>
    </row>
    <row r="64" spans="1:28" ht="15.75" x14ac:dyDescent="0.2">
      <c r="A64" s="45"/>
      <c r="B64" s="46"/>
      <c r="C64" s="46"/>
      <c r="D64" s="46"/>
      <c r="E64" s="47"/>
      <c r="F64" s="48"/>
      <c r="G64" s="47"/>
      <c r="H64" s="49"/>
      <c r="I64" s="46"/>
      <c r="J64" s="51"/>
      <c r="K64" s="52"/>
      <c r="L64" s="53"/>
      <c r="M64" s="71"/>
      <c r="N64" s="55"/>
      <c r="O64" s="56"/>
      <c r="P64" s="56"/>
      <c r="Q64" s="56"/>
      <c r="R64" s="57"/>
      <c r="S64" s="57"/>
      <c r="T64" s="57"/>
      <c r="U64" s="59"/>
      <c r="V64" s="42">
        <f t="shared" si="0"/>
        <v>0</v>
      </c>
      <c r="W64" s="60">
        <f t="shared" si="1"/>
        <v>0</v>
      </c>
      <c r="X64" s="44">
        <f t="shared" si="2"/>
        <v>0</v>
      </c>
      <c r="Z64" s="92"/>
      <c r="AA64" s="92"/>
      <c r="AB64" s="92"/>
    </row>
    <row r="65" spans="1:24" ht="15" x14ac:dyDescent="0.2">
      <c r="A65" s="62"/>
      <c r="B65" s="47"/>
      <c r="C65" s="47"/>
      <c r="D65" s="47"/>
      <c r="E65" s="47"/>
      <c r="F65" s="48"/>
      <c r="G65" s="47"/>
      <c r="H65" s="49"/>
      <c r="I65" s="91"/>
      <c r="J65" s="51"/>
      <c r="K65" s="52"/>
      <c r="L65" s="53"/>
      <c r="M65" s="54"/>
      <c r="N65" s="55"/>
      <c r="O65" s="64"/>
      <c r="P65" s="64"/>
      <c r="Q65" s="64"/>
      <c r="R65" s="57"/>
      <c r="S65" s="57"/>
      <c r="T65" s="57"/>
      <c r="U65" s="59"/>
      <c r="V65" s="42">
        <f t="shared" si="0"/>
        <v>0</v>
      </c>
      <c r="W65" s="60">
        <f t="shared" si="1"/>
        <v>0</v>
      </c>
      <c r="X65" s="44">
        <f t="shared" si="2"/>
        <v>0</v>
      </c>
    </row>
    <row r="66" spans="1:24" ht="15.75" x14ac:dyDescent="0.2">
      <c r="A66" s="45"/>
      <c r="B66" s="46"/>
      <c r="C66" s="46"/>
      <c r="D66" s="46"/>
      <c r="E66" s="47"/>
      <c r="F66" s="48"/>
      <c r="G66" s="47"/>
      <c r="H66" s="49"/>
      <c r="I66" s="46"/>
      <c r="J66" s="51"/>
      <c r="K66" s="52"/>
      <c r="L66" s="53"/>
      <c r="M66" s="71"/>
      <c r="N66" s="55"/>
      <c r="O66" s="56"/>
      <c r="P66" s="56"/>
      <c r="Q66" s="56"/>
      <c r="R66" s="57"/>
      <c r="S66" s="57"/>
      <c r="T66" s="57"/>
      <c r="U66" s="59"/>
      <c r="V66" s="42">
        <f t="shared" si="0"/>
        <v>0</v>
      </c>
      <c r="W66" s="60">
        <f t="shared" si="1"/>
        <v>0</v>
      </c>
      <c r="X66" s="44">
        <f t="shared" si="2"/>
        <v>0</v>
      </c>
    </row>
    <row r="67" spans="1:24" ht="15.75" x14ac:dyDescent="0.2">
      <c r="A67" s="45"/>
      <c r="B67" s="46"/>
      <c r="C67" s="46"/>
      <c r="D67" s="46"/>
      <c r="E67" s="47"/>
      <c r="F67" s="48"/>
      <c r="G67" s="47"/>
      <c r="H67" s="49"/>
      <c r="I67" s="46"/>
      <c r="J67" s="51"/>
      <c r="K67" s="52"/>
      <c r="L67" s="53"/>
      <c r="M67" s="71"/>
      <c r="N67" s="55"/>
      <c r="O67" s="56"/>
      <c r="P67" s="56"/>
      <c r="Q67" s="56"/>
      <c r="R67" s="57"/>
      <c r="S67" s="57"/>
      <c r="T67" s="57"/>
      <c r="U67" s="59"/>
      <c r="V67" s="42">
        <f t="shared" si="0"/>
        <v>0</v>
      </c>
      <c r="W67" s="60">
        <f t="shared" si="1"/>
        <v>0</v>
      </c>
      <c r="X67" s="44">
        <f t="shared" si="2"/>
        <v>0</v>
      </c>
    </row>
    <row r="68" spans="1:24" ht="15" x14ac:dyDescent="0.2">
      <c r="A68" s="62"/>
      <c r="B68" s="47"/>
      <c r="C68" s="47"/>
      <c r="D68" s="47"/>
      <c r="E68" s="47"/>
      <c r="F68" s="48"/>
      <c r="G68" s="47"/>
      <c r="H68" s="49"/>
      <c r="I68" s="91"/>
      <c r="J68" s="51"/>
      <c r="K68" s="52"/>
      <c r="L68" s="53"/>
      <c r="M68" s="54"/>
      <c r="N68" s="55"/>
      <c r="O68" s="64"/>
      <c r="P68" s="64"/>
      <c r="Q68" s="64"/>
      <c r="R68" s="57"/>
      <c r="S68" s="57"/>
      <c r="T68" s="57"/>
      <c r="U68" s="59"/>
      <c r="V68" s="42">
        <f t="shared" si="0"/>
        <v>0</v>
      </c>
      <c r="W68" s="60">
        <f t="shared" ref="W68:W131" si="4">V68*M68</f>
        <v>0</v>
      </c>
      <c r="X68" s="44">
        <f t="shared" ref="X68:X131" si="5">P68*$AA$30+Q68*$AA$31+N68*$AA$28+O68*$AA$29+R68*M68*$AA$32+S68*M68*$AA$33+T68*M68*$AA$34+V68*M68*$AA$35+U68*M68*$AA$36</f>
        <v>0</v>
      </c>
    </row>
    <row r="69" spans="1:24" ht="15" x14ac:dyDescent="0.2">
      <c r="A69" s="62"/>
      <c r="B69" s="47"/>
      <c r="C69" s="47"/>
      <c r="D69" s="47"/>
      <c r="E69" s="47"/>
      <c r="F69" s="48"/>
      <c r="G69" s="47"/>
      <c r="H69" s="49"/>
      <c r="I69" s="91"/>
      <c r="J69" s="51"/>
      <c r="K69" s="52"/>
      <c r="L69" s="53"/>
      <c r="M69" s="54"/>
      <c r="N69" s="55"/>
      <c r="O69" s="64"/>
      <c r="P69" s="64"/>
      <c r="Q69" s="64"/>
      <c r="R69" s="57"/>
      <c r="S69" s="57"/>
      <c r="T69" s="57"/>
      <c r="U69" s="59"/>
      <c r="V69" s="42">
        <f t="shared" si="0"/>
        <v>0</v>
      </c>
      <c r="W69" s="60">
        <f t="shared" si="4"/>
        <v>0</v>
      </c>
      <c r="X69" s="44">
        <f t="shared" si="5"/>
        <v>0</v>
      </c>
    </row>
    <row r="70" spans="1:24" ht="15" x14ac:dyDescent="0.2">
      <c r="A70" s="62"/>
      <c r="B70" s="47"/>
      <c r="C70" s="47"/>
      <c r="D70" s="47"/>
      <c r="E70" s="47"/>
      <c r="F70" s="48"/>
      <c r="G70" s="47"/>
      <c r="H70" s="49"/>
      <c r="I70" s="91"/>
      <c r="J70" s="51"/>
      <c r="K70" s="52"/>
      <c r="L70" s="53"/>
      <c r="M70" s="54"/>
      <c r="N70" s="55"/>
      <c r="O70" s="64"/>
      <c r="P70" s="64"/>
      <c r="Q70" s="64"/>
      <c r="R70" s="57"/>
      <c r="S70" s="57"/>
      <c r="T70" s="57"/>
      <c r="U70" s="59"/>
      <c r="V70" s="42">
        <f t="shared" si="0"/>
        <v>0</v>
      </c>
      <c r="W70" s="60">
        <f t="shared" si="4"/>
        <v>0</v>
      </c>
      <c r="X70" s="44">
        <f t="shared" si="5"/>
        <v>0</v>
      </c>
    </row>
    <row r="71" spans="1:24" ht="15.75" x14ac:dyDescent="0.2">
      <c r="A71" s="45"/>
      <c r="B71" s="46"/>
      <c r="C71" s="46"/>
      <c r="D71" s="46"/>
      <c r="E71" s="47"/>
      <c r="F71" s="48"/>
      <c r="G71" s="47"/>
      <c r="H71" s="49"/>
      <c r="I71" s="46"/>
      <c r="J71" s="51"/>
      <c r="K71" s="52"/>
      <c r="L71" s="53"/>
      <c r="M71" s="71"/>
      <c r="N71" s="55"/>
      <c r="O71" s="56"/>
      <c r="P71" s="56"/>
      <c r="Q71" s="56"/>
      <c r="R71" s="57"/>
      <c r="S71" s="57"/>
      <c r="T71" s="57"/>
      <c r="U71" s="59"/>
      <c r="V71" s="42">
        <f t="shared" si="0"/>
        <v>0</v>
      </c>
      <c r="W71" s="60">
        <f t="shared" si="4"/>
        <v>0</v>
      </c>
      <c r="X71" s="44">
        <f t="shared" si="5"/>
        <v>0</v>
      </c>
    </row>
    <row r="72" spans="1:24" ht="15" x14ac:dyDescent="0.2">
      <c r="A72" s="62"/>
      <c r="B72" s="47"/>
      <c r="C72" s="47"/>
      <c r="D72" s="47"/>
      <c r="E72" s="47"/>
      <c r="F72" s="48"/>
      <c r="G72" s="47"/>
      <c r="H72" s="49"/>
      <c r="I72" s="91"/>
      <c r="J72" s="51"/>
      <c r="K72" s="52"/>
      <c r="L72" s="53"/>
      <c r="M72" s="54"/>
      <c r="N72" s="55"/>
      <c r="O72" s="64"/>
      <c r="P72" s="64"/>
      <c r="Q72" s="64"/>
      <c r="R72" s="57"/>
      <c r="S72" s="57"/>
      <c r="T72" s="57"/>
      <c r="U72" s="59"/>
      <c r="V72" s="42">
        <f t="shared" ref="V72:V135" si="6">IF(ISBLANK(L72),0,IF(L72=0,0,IF(L72&gt;0,1)))</f>
        <v>0</v>
      </c>
      <c r="W72" s="60">
        <f t="shared" si="4"/>
        <v>0</v>
      </c>
      <c r="X72" s="44">
        <f t="shared" si="5"/>
        <v>0</v>
      </c>
    </row>
    <row r="73" spans="1:24" ht="15.75" x14ac:dyDescent="0.2">
      <c r="A73" s="45"/>
      <c r="B73" s="46"/>
      <c r="C73" s="46"/>
      <c r="D73" s="46"/>
      <c r="E73" s="47"/>
      <c r="F73" s="48"/>
      <c r="G73" s="47"/>
      <c r="H73" s="49"/>
      <c r="I73" s="46"/>
      <c r="J73" s="51"/>
      <c r="K73" s="52"/>
      <c r="L73" s="53"/>
      <c r="M73" s="71"/>
      <c r="N73" s="55"/>
      <c r="O73" s="56"/>
      <c r="P73" s="56"/>
      <c r="Q73" s="56"/>
      <c r="R73" s="57"/>
      <c r="S73" s="57"/>
      <c r="T73" s="57"/>
      <c r="U73" s="59"/>
      <c r="V73" s="42">
        <f t="shared" si="6"/>
        <v>0</v>
      </c>
      <c r="W73" s="60">
        <f t="shared" si="4"/>
        <v>0</v>
      </c>
      <c r="X73" s="44">
        <f t="shared" si="5"/>
        <v>0</v>
      </c>
    </row>
    <row r="74" spans="1:24" ht="15" x14ac:dyDescent="0.2">
      <c r="A74" s="62"/>
      <c r="B74" s="47"/>
      <c r="C74" s="47"/>
      <c r="D74" s="47"/>
      <c r="E74" s="47"/>
      <c r="F74" s="48"/>
      <c r="G74" s="47"/>
      <c r="H74" s="49"/>
      <c r="I74" s="91"/>
      <c r="J74" s="51"/>
      <c r="K74" s="52"/>
      <c r="L74" s="53"/>
      <c r="M74" s="54"/>
      <c r="N74" s="55"/>
      <c r="O74" s="64"/>
      <c r="P74" s="64"/>
      <c r="Q74" s="64"/>
      <c r="R74" s="57"/>
      <c r="S74" s="57"/>
      <c r="T74" s="57"/>
      <c r="U74" s="59"/>
      <c r="V74" s="42">
        <f t="shared" si="6"/>
        <v>0</v>
      </c>
      <c r="W74" s="60">
        <f t="shared" si="4"/>
        <v>0</v>
      </c>
      <c r="X74" s="44">
        <f t="shared" si="5"/>
        <v>0</v>
      </c>
    </row>
    <row r="75" spans="1:24" ht="15" x14ac:dyDescent="0.2">
      <c r="A75" s="62"/>
      <c r="B75" s="47"/>
      <c r="C75" s="47"/>
      <c r="D75" s="47"/>
      <c r="E75" s="47"/>
      <c r="F75" s="48"/>
      <c r="G75" s="47"/>
      <c r="H75" s="49"/>
      <c r="I75" s="91"/>
      <c r="J75" s="51"/>
      <c r="K75" s="52"/>
      <c r="L75" s="53"/>
      <c r="M75" s="54"/>
      <c r="N75" s="55"/>
      <c r="O75" s="64"/>
      <c r="P75" s="64"/>
      <c r="Q75" s="64"/>
      <c r="R75" s="57"/>
      <c r="S75" s="57"/>
      <c r="T75" s="57"/>
      <c r="U75" s="59"/>
      <c r="V75" s="42">
        <f t="shared" si="6"/>
        <v>0</v>
      </c>
      <c r="W75" s="60">
        <f t="shared" si="4"/>
        <v>0</v>
      </c>
      <c r="X75" s="44">
        <f t="shared" si="5"/>
        <v>0</v>
      </c>
    </row>
    <row r="76" spans="1:24" ht="15.75" x14ac:dyDescent="0.2">
      <c r="A76" s="45"/>
      <c r="B76" s="46"/>
      <c r="C76" s="46"/>
      <c r="D76" s="46"/>
      <c r="E76" s="47"/>
      <c r="F76" s="48"/>
      <c r="G76" s="47"/>
      <c r="H76" s="49"/>
      <c r="I76" s="46"/>
      <c r="J76" s="51"/>
      <c r="K76" s="52"/>
      <c r="L76" s="53"/>
      <c r="M76" s="71"/>
      <c r="N76" s="55"/>
      <c r="O76" s="56"/>
      <c r="P76" s="56"/>
      <c r="Q76" s="56"/>
      <c r="R76" s="57"/>
      <c r="S76" s="57"/>
      <c r="T76" s="57"/>
      <c r="U76" s="59"/>
      <c r="V76" s="42">
        <f t="shared" si="6"/>
        <v>0</v>
      </c>
      <c r="W76" s="60">
        <f t="shared" si="4"/>
        <v>0</v>
      </c>
      <c r="X76" s="44">
        <f t="shared" si="5"/>
        <v>0</v>
      </c>
    </row>
    <row r="77" spans="1:24" ht="15" x14ac:dyDescent="0.2">
      <c r="A77" s="62"/>
      <c r="B77" s="47"/>
      <c r="C77" s="47"/>
      <c r="D77" s="47"/>
      <c r="E77" s="47"/>
      <c r="F77" s="48"/>
      <c r="G77" s="47"/>
      <c r="H77" s="49"/>
      <c r="I77" s="91"/>
      <c r="J77" s="51"/>
      <c r="K77" s="52"/>
      <c r="L77" s="53"/>
      <c r="M77" s="54"/>
      <c r="N77" s="55"/>
      <c r="O77" s="64"/>
      <c r="P77" s="64"/>
      <c r="Q77" s="64"/>
      <c r="R77" s="57"/>
      <c r="S77" s="57"/>
      <c r="T77" s="57"/>
      <c r="U77" s="59"/>
      <c r="V77" s="42">
        <f t="shared" si="6"/>
        <v>0</v>
      </c>
      <c r="W77" s="60">
        <f t="shared" si="4"/>
        <v>0</v>
      </c>
      <c r="X77" s="44">
        <f t="shared" si="5"/>
        <v>0</v>
      </c>
    </row>
    <row r="78" spans="1:24" ht="15.75" x14ac:dyDescent="0.2">
      <c r="A78" s="45"/>
      <c r="B78" s="46"/>
      <c r="C78" s="46"/>
      <c r="D78" s="46"/>
      <c r="E78" s="47"/>
      <c r="F78" s="48"/>
      <c r="G78" s="47"/>
      <c r="H78" s="49"/>
      <c r="I78" s="46"/>
      <c r="J78" s="51"/>
      <c r="K78" s="52"/>
      <c r="L78" s="53"/>
      <c r="M78" s="71"/>
      <c r="N78" s="55"/>
      <c r="O78" s="56"/>
      <c r="P78" s="56"/>
      <c r="Q78" s="56"/>
      <c r="R78" s="57"/>
      <c r="S78" s="57"/>
      <c r="T78" s="57"/>
      <c r="U78" s="59"/>
      <c r="V78" s="42">
        <f t="shared" si="6"/>
        <v>0</v>
      </c>
      <c r="W78" s="60">
        <f t="shared" si="4"/>
        <v>0</v>
      </c>
      <c r="X78" s="44">
        <f t="shared" si="5"/>
        <v>0</v>
      </c>
    </row>
    <row r="79" spans="1:24" ht="15" x14ac:dyDescent="0.2">
      <c r="A79" s="62"/>
      <c r="B79" s="47"/>
      <c r="C79" s="47"/>
      <c r="D79" s="47"/>
      <c r="E79" s="47"/>
      <c r="F79" s="48"/>
      <c r="G79" s="47"/>
      <c r="H79" s="49"/>
      <c r="I79" s="91"/>
      <c r="J79" s="51"/>
      <c r="K79" s="52"/>
      <c r="L79" s="53"/>
      <c r="M79" s="54"/>
      <c r="N79" s="55"/>
      <c r="O79" s="64"/>
      <c r="P79" s="64"/>
      <c r="Q79" s="64"/>
      <c r="R79" s="57"/>
      <c r="S79" s="57"/>
      <c r="T79" s="57"/>
      <c r="U79" s="59"/>
      <c r="V79" s="42">
        <f t="shared" si="6"/>
        <v>0</v>
      </c>
      <c r="W79" s="60">
        <f t="shared" si="4"/>
        <v>0</v>
      </c>
      <c r="X79" s="44">
        <f t="shared" si="5"/>
        <v>0</v>
      </c>
    </row>
    <row r="80" spans="1:24" ht="15.75" x14ac:dyDescent="0.2">
      <c r="A80" s="45"/>
      <c r="B80" s="46"/>
      <c r="C80" s="46"/>
      <c r="D80" s="46"/>
      <c r="E80" s="47"/>
      <c r="F80" s="48"/>
      <c r="G80" s="47"/>
      <c r="H80" s="49"/>
      <c r="I80" s="46"/>
      <c r="J80" s="51"/>
      <c r="K80" s="52"/>
      <c r="L80" s="53"/>
      <c r="M80" s="71"/>
      <c r="N80" s="55"/>
      <c r="O80" s="56"/>
      <c r="P80" s="56"/>
      <c r="Q80" s="56"/>
      <c r="R80" s="57"/>
      <c r="S80" s="57"/>
      <c r="T80" s="57"/>
      <c r="U80" s="59"/>
      <c r="V80" s="42">
        <f t="shared" si="6"/>
        <v>0</v>
      </c>
      <c r="W80" s="60">
        <f t="shared" si="4"/>
        <v>0</v>
      </c>
      <c r="X80" s="44">
        <f t="shared" si="5"/>
        <v>0</v>
      </c>
    </row>
    <row r="81" spans="1:24" ht="15.75" x14ac:dyDescent="0.2">
      <c r="A81" s="45"/>
      <c r="B81" s="46"/>
      <c r="C81" s="46"/>
      <c r="D81" s="46"/>
      <c r="E81" s="47"/>
      <c r="F81" s="48"/>
      <c r="G81" s="47"/>
      <c r="H81" s="49"/>
      <c r="I81" s="91"/>
      <c r="J81" s="93"/>
      <c r="K81" s="52"/>
      <c r="L81" s="53"/>
      <c r="M81" s="71"/>
      <c r="N81" s="55"/>
      <c r="O81" s="56"/>
      <c r="P81" s="56"/>
      <c r="Q81" s="56"/>
      <c r="R81" s="57"/>
      <c r="S81" s="57"/>
      <c r="T81" s="57"/>
      <c r="U81" s="59"/>
      <c r="V81" s="42">
        <f t="shared" si="6"/>
        <v>0</v>
      </c>
      <c r="W81" s="60">
        <f t="shared" si="4"/>
        <v>0</v>
      </c>
      <c r="X81" s="44">
        <f t="shared" si="5"/>
        <v>0</v>
      </c>
    </row>
    <row r="82" spans="1:24" ht="15" x14ac:dyDescent="0.2">
      <c r="A82" s="62"/>
      <c r="B82" s="47"/>
      <c r="C82" s="47"/>
      <c r="D82" s="47"/>
      <c r="E82" s="47"/>
      <c r="F82" s="48"/>
      <c r="G82" s="47"/>
      <c r="H82" s="49"/>
      <c r="I82" s="91"/>
      <c r="J82" s="93"/>
      <c r="K82" s="52"/>
      <c r="L82" s="53"/>
      <c r="M82" s="54"/>
      <c r="N82" s="55"/>
      <c r="O82" s="56"/>
      <c r="P82" s="56"/>
      <c r="Q82" s="56"/>
      <c r="R82" s="57"/>
      <c r="S82" s="57"/>
      <c r="T82" s="57"/>
      <c r="U82" s="59"/>
      <c r="V82" s="42">
        <f t="shared" si="6"/>
        <v>0</v>
      </c>
      <c r="W82" s="60">
        <f t="shared" si="4"/>
        <v>0</v>
      </c>
      <c r="X82" s="44">
        <f t="shared" si="5"/>
        <v>0</v>
      </c>
    </row>
    <row r="83" spans="1:24" ht="15.75" x14ac:dyDescent="0.2">
      <c r="A83" s="45"/>
      <c r="B83" s="46"/>
      <c r="C83" s="46"/>
      <c r="D83" s="46"/>
      <c r="E83" s="47"/>
      <c r="F83" s="48"/>
      <c r="G83" s="47"/>
      <c r="H83" s="49"/>
      <c r="I83" s="46"/>
      <c r="J83" s="93"/>
      <c r="K83" s="52"/>
      <c r="L83" s="53"/>
      <c r="M83" s="71"/>
      <c r="N83" s="55"/>
      <c r="O83" s="56"/>
      <c r="P83" s="56"/>
      <c r="Q83" s="56"/>
      <c r="R83" s="57"/>
      <c r="S83" s="57"/>
      <c r="T83" s="57"/>
      <c r="U83" s="59"/>
      <c r="V83" s="42">
        <f t="shared" si="6"/>
        <v>0</v>
      </c>
      <c r="W83" s="60">
        <f t="shared" si="4"/>
        <v>0</v>
      </c>
      <c r="X83" s="44">
        <f t="shared" si="5"/>
        <v>0</v>
      </c>
    </row>
    <row r="84" spans="1:24" ht="15" x14ac:dyDescent="0.2">
      <c r="A84" s="62"/>
      <c r="B84" s="47"/>
      <c r="C84" s="47"/>
      <c r="D84" s="47"/>
      <c r="E84" s="47"/>
      <c r="F84" s="48"/>
      <c r="G84" s="47"/>
      <c r="H84" s="49"/>
      <c r="I84" s="91"/>
      <c r="J84" s="93"/>
      <c r="K84" s="52"/>
      <c r="L84" s="53"/>
      <c r="M84" s="54"/>
      <c r="N84" s="55"/>
      <c r="O84" s="64"/>
      <c r="P84" s="64"/>
      <c r="Q84" s="64"/>
      <c r="R84" s="57"/>
      <c r="S84" s="57"/>
      <c r="T84" s="57"/>
      <c r="U84" s="59"/>
      <c r="V84" s="42">
        <f t="shared" si="6"/>
        <v>0</v>
      </c>
      <c r="W84" s="60">
        <f t="shared" si="4"/>
        <v>0</v>
      </c>
      <c r="X84" s="44">
        <f t="shared" si="5"/>
        <v>0</v>
      </c>
    </row>
    <row r="85" spans="1:24" ht="15" x14ac:dyDescent="0.2">
      <c r="A85" s="62"/>
      <c r="B85" s="47"/>
      <c r="C85" s="47"/>
      <c r="D85" s="47"/>
      <c r="E85" s="47"/>
      <c r="F85" s="48"/>
      <c r="G85" s="47"/>
      <c r="H85" s="49"/>
      <c r="I85" s="91"/>
      <c r="J85" s="93"/>
      <c r="K85" s="52"/>
      <c r="L85" s="53"/>
      <c r="M85" s="54"/>
      <c r="N85" s="55"/>
      <c r="O85" s="64"/>
      <c r="P85" s="64"/>
      <c r="Q85" s="64"/>
      <c r="R85" s="57"/>
      <c r="S85" s="57"/>
      <c r="T85" s="57"/>
      <c r="U85" s="59"/>
      <c r="V85" s="42">
        <f t="shared" si="6"/>
        <v>0</v>
      </c>
      <c r="W85" s="60">
        <f t="shared" si="4"/>
        <v>0</v>
      </c>
      <c r="X85" s="44">
        <f t="shared" si="5"/>
        <v>0</v>
      </c>
    </row>
    <row r="86" spans="1:24" ht="15.75" x14ac:dyDescent="0.2">
      <c r="A86" s="45"/>
      <c r="B86" s="46"/>
      <c r="C86" s="46"/>
      <c r="D86" s="46"/>
      <c r="E86" s="47"/>
      <c r="F86" s="48"/>
      <c r="G86" s="47"/>
      <c r="H86" s="49"/>
      <c r="I86" s="46"/>
      <c r="J86" s="93"/>
      <c r="K86" s="52"/>
      <c r="L86" s="53"/>
      <c r="M86" s="71"/>
      <c r="N86" s="55"/>
      <c r="O86" s="56"/>
      <c r="P86" s="56"/>
      <c r="Q86" s="56"/>
      <c r="R86" s="57"/>
      <c r="S86" s="57"/>
      <c r="T86" s="57"/>
      <c r="U86" s="59"/>
      <c r="V86" s="42">
        <f t="shared" si="6"/>
        <v>0</v>
      </c>
      <c r="W86" s="60">
        <f t="shared" si="4"/>
        <v>0</v>
      </c>
      <c r="X86" s="44">
        <f t="shared" si="5"/>
        <v>0</v>
      </c>
    </row>
    <row r="87" spans="1:24" ht="15" x14ac:dyDescent="0.2">
      <c r="A87" s="62"/>
      <c r="B87" s="47"/>
      <c r="C87" s="47"/>
      <c r="D87" s="47"/>
      <c r="E87" s="47"/>
      <c r="F87" s="48"/>
      <c r="G87" s="47"/>
      <c r="H87" s="49"/>
      <c r="I87" s="91"/>
      <c r="J87" s="93"/>
      <c r="K87" s="52"/>
      <c r="L87" s="53"/>
      <c r="M87" s="54"/>
      <c r="N87" s="55"/>
      <c r="O87" s="64"/>
      <c r="P87" s="64"/>
      <c r="Q87" s="64"/>
      <c r="R87" s="57"/>
      <c r="S87" s="57"/>
      <c r="T87" s="57"/>
      <c r="U87" s="59"/>
      <c r="V87" s="42">
        <f t="shared" si="6"/>
        <v>0</v>
      </c>
      <c r="W87" s="60">
        <f t="shared" si="4"/>
        <v>0</v>
      </c>
      <c r="X87" s="44">
        <f t="shared" si="5"/>
        <v>0</v>
      </c>
    </row>
    <row r="88" spans="1:24" ht="15.75" x14ac:dyDescent="0.2">
      <c r="A88" s="45"/>
      <c r="B88" s="46"/>
      <c r="C88" s="46"/>
      <c r="D88" s="46"/>
      <c r="E88" s="47"/>
      <c r="F88" s="48"/>
      <c r="G88" s="47"/>
      <c r="H88" s="49"/>
      <c r="I88" s="46"/>
      <c r="J88" s="93"/>
      <c r="K88" s="52"/>
      <c r="L88" s="53"/>
      <c r="M88" s="71"/>
      <c r="N88" s="55"/>
      <c r="O88" s="56"/>
      <c r="P88" s="56"/>
      <c r="Q88" s="56"/>
      <c r="R88" s="57"/>
      <c r="S88" s="57"/>
      <c r="T88" s="57"/>
      <c r="U88" s="59"/>
      <c r="V88" s="42">
        <f t="shared" si="6"/>
        <v>0</v>
      </c>
      <c r="W88" s="60">
        <f t="shared" si="4"/>
        <v>0</v>
      </c>
      <c r="X88" s="44">
        <f t="shared" si="5"/>
        <v>0</v>
      </c>
    </row>
    <row r="89" spans="1:24" ht="15" x14ac:dyDescent="0.2">
      <c r="A89" s="62"/>
      <c r="B89" s="47"/>
      <c r="C89" s="47"/>
      <c r="D89" s="47"/>
      <c r="E89" s="47"/>
      <c r="F89" s="48"/>
      <c r="G89" s="47"/>
      <c r="H89" s="49"/>
      <c r="I89" s="91"/>
      <c r="J89" s="93"/>
      <c r="K89" s="52"/>
      <c r="L89" s="53"/>
      <c r="M89" s="54"/>
      <c r="N89" s="55"/>
      <c r="O89" s="64"/>
      <c r="P89" s="64"/>
      <c r="Q89" s="64"/>
      <c r="R89" s="57"/>
      <c r="S89" s="57"/>
      <c r="T89" s="57"/>
      <c r="U89" s="59"/>
      <c r="V89" s="42">
        <f t="shared" si="6"/>
        <v>0</v>
      </c>
      <c r="W89" s="60">
        <f t="shared" si="4"/>
        <v>0</v>
      </c>
      <c r="X89" s="44">
        <f t="shared" si="5"/>
        <v>0</v>
      </c>
    </row>
    <row r="90" spans="1:24" ht="15.75" x14ac:dyDescent="0.2">
      <c r="A90" s="45"/>
      <c r="B90" s="46"/>
      <c r="C90" s="46"/>
      <c r="D90" s="46"/>
      <c r="E90" s="47"/>
      <c r="F90" s="48"/>
      <c r="G90" s="47"/>
      <c r="H90" s="49"/>
      <c r="I90" s="46"/>
      <c r="J90" s="93"/>
      <c r="K90" s="52"/>
      <c r="L90" s="53"/>
      <c r="M90" s="71"/>
      <c r="N90" s="55"/>
      <c r="O90" s="56"/>
      <c r="P90" s="56"/>
      <c r="Q90" s="56"/>
      <c r="R90" s="57"/>
      <c r="S90" s="57"/>
      <c r="T90" s="57"/>
      <c r="U90" s="59"/>
      <c r="V90" s="42">
        <f t="shared" si="6"/>
        <v>0</v>
      </c>
      <c r="W90" s="60">
        <f t="shared" si="4"/>
        <v>0</v>
      </c>
      <c r="X90" s="44">
        <f t="shared" si="5"/>
        <v>0</v>
      </c>
    </row>
    <row r="91" spans="1:24" ht="15.75" x14ac:dyDescent="0.2">
      <c r="A91" s="45"/>
      <c r="B91" s="46"/>
      <c r="C91" s="46"/>
      <c r="D91" s="46"/>
      <c r="E91" s="47"/>
      <c r="F91" s="48"/>
      <c r="G91" s="47"/>
      <c r="H91" s="49"/>
      <c r="I91" s="46"/>
      <c r="J91" s="93"/>
      <c r="K91" s="52"/>
      <c r="L91" s="53"/>
      <c r="M91" s="71"/>
      <c r="N91" s="55"/>
      <c r="O91" s="56"/>
      <c r="P91" s="56"/>
      <c r="Q91" s="56"/>
      <c r="R91" s="57"/>
      <c r="S91" s="57"/>
      <c r="T91" s="57"/>
      <c r="U91" s="59"/>
      <c r="V91" s="42">
        <f t="shared" si="6"/>
        <v>0</v>
      </c>
      <c r="W91" s="60">
        <f t="shared" si="4"/>
        <v>0</v>
      </c>
      <c r="X91" s="44">
        <f t="shared" si="5"/>
        <v>0</v>
      </c>
    </row>
    <row r="92" spans="1:24" ht="15" x14ac:dyDescent="0.2">
      <c r="A92" s="62"/>
      <c r="B92" s="47"/>
      <c r="C92" s="47"/>
      <c r="D92" s="47"/>
      <c r="E92" s="47"/>
      <c r="F92" s="48"/>
      <c r="G92" s="47"/>
      <c r="H92" s="49"/>
      <c r="I92" s="91"/>
      <c r="J92" s="93"/>
      <c r="K92" s="52"/>
      <c r="L92" s="53"/>
      <c r="M92" s="54"/>
      <c r="N92" s="55"/>
      <c r="O92" s="64"/>
      <c r="P92" s="64"/>
      <c r="Q92" s="64"/>
      <c r="R92" s="57"/>
      <c r="S92" s="57"/>
      <c r="T92" s="57"/>
      <c r="U92" s="59"/>
      <c r="V92" s="42">
        <f t="shared" si="6"/>
        <v>0</v>
      </c>
      <c r="W92" s="60">
        <f t="shared" si="4"/>
        <v>0</v>
      </c>
      <c r="X92" s="44">
        <f t="shared" si="5"/>
        <v>0</v>
      </c>
    </row>
    <row r="93" spans="1:24" ht="15.75" x14ac:dyDescent="0.2">
      <c r="A93" s="45"/>
      <c r="B93" s="46"/>
      <c r="C93" s="46"/>
      <c r="D93" s="46"/>
      <c r="E93" s="47"/>
      <c r="F93" s="48"/>
      <c r="G93" s="47"/>
      <c r="H93" s="49"/>
      <c r="I93" s="46"/>
      <c r="J93" s="93"/>
      <c r="K93" s="52"/>
      <c r="L93" s="53"/>
      <c r="M93" s="71"/>
      <c r="N93" s="55"/>
      <c r="O93" s="56"/>
      <c r="P93" s="56"/>
      <c r="Q93" s="56"/>
      <c r="R93" s="57"/>
      <c r="S93" s="57"/>
      <c r="T93" s="57"/>
      <c r="U93" s="59"/>
      <c r="V93" s="42">
        <f t="shared" si="6"/>
        <v>0</v>
      </c>
      <c r="W93" s="60">
        <f t="shared" si="4"/>
        <v>0</v>
      </c>
      <c r="X93" s="44">
        <f t="shared" si="5"/>
        <v>0</v>
      </c>
    </row>
    <row r="94" spans="1:24" ht="15" x14ac:dyDescent="0.2">
      <c r="A94" s="62"/>
      <c r="B94" s="47"/>
      <c r="C94" s="47"/>
      <c r="D94" s="47"/>
      <c r="E94" s="47"/>
      <c r="F94" s="48"/>
      <c r="G94" s="47"/>
      <c r="H94" s="49"/>
      <c r="I94" s="91"/>
      <c r="J94" s="93"/>
      <c r="K94" s="52"/>
      <c r="L94" s="53"/>
      <c r="M94" s="54"/>
      <c r="N94" s="55"/>
      <c r="O94" s="64"/>
      <c r="P94" s="64"/>
      <c r="Q94" s="64"/>
      <c r="R94" s="57"/>
      <c r="S94" s="57"/>
      <c r="T94" s="57"/>
      <c r="U94" s="59"/>
      <c r="V94" s="42">
        <f t="shared" si="6"/>
        <v>0</v>
      </c>
      <c r="W94" s="60">
        <f t="shared" si="4"/>
        <v>0</v>
      </c>
      <c r="X94" s="44">
        <f t="shared" si="5"/>
        <v>0</v>
      </c>
    </row>
    <row r="95" spans="1:24" ht="15.75" x14ac:dyDescent="0.2">
      <c r="A95" s="45"/>
      <c r="B95" s="46"/>
      <c r="C95" s="46"/>
      <c r="D95" s="46"/>
      <c r="E95" s="47"/>
      <c r="F95" s="48"/>
      <c r="G95" s="47"/>
      <c r="H95" s="49"/>
      <c r="I95" s="46"/>
      <c r="J95" s="93"/>
      <c r="K95" s="52"/>
      <c r="L95" s="53"/>
      <c r="M95" s="71"/>
      <c r="N95" s="55"/>
      <c r="O95" s="56"/>
      <c r="P95" s="56"/>
      <c r="Q95" s="56"/>
      <c r="R95" s="57"/>
      <c r="S95" s="57"/>
      <c r="T95" s="57"/>
      <c r="U95" s="59"/>
      <c r="V95" s="42">
        <f t="shared" si="6"/>
        <v>0</v>
      </c>
      <c r="W95" s="60">
        <f t="shared" si="4"/>
        <v>0</v>
      </c>
      <c r="X95" s="44">
        <f t="shared" si="5"/>
        <v>0</v>
      </c>
    </row>
    <row r="96" spans="1:24" ht="15.75" x14ac:dyDescent="0.2">
      <c r="A96" s="45"/>
      <c r="B96" s="46"/>
      <c r="C96" s="46"/>
      <c r="D96" s="46"/>
      <c r="E96" s="47"/>
      <c r="F96" s="48"/>
      <c r="G96" s="47"/>
      <c r="H96" s="49"/>
      <c r="I96" s="46"/>
      <c r="J96" s="93"/>
      <c r="K96" s="52"/>
      <c r="L96" s="53"/>
      <c r="M96" s="71"/>
      <c r="N96" s="55"/>
      <c r="O96" s="56"/>
      <c r="P96" s="56"/>
      <c r="Q96" s="56"/>
      <c r="R96" s="57"/>
      <c r="S96" s="57"/>
      <c r="T96" s="57"/>
      <c r="U96" s="59"/>
      <c r="V96" s="42">
        <f t="shared" si="6"/>
        <v>0</v>
      </c>
      <c r="W96" s="60">
        <f t="shared" si="4"/>
        <v>0</v>
      </c>
      <c r="X96" s="44">
        <f t="shared" si="5"/>
        <v>0</v>
      </c>
    </row>
    <row r="97" spans="1:24" ht="15" x14ac:dyDescent="0.2">
      <c r="A97" s="62"/>
      <c r="B97" s="47"/>
      <c r="C97" s="47"/>
      <c r="D97" s="47"/>
      <c r="E97" s="47"/>
      <c r="F97" s="48"/>
      <c r="G97" s="47"/>
      <c r="H97" s="49"/>
      <c r="I97" s="91"/>
      <c r="J97" s="93"/>
      <c r="K97" s="52"/>
      <c r="L97" s="53"/>
      <c r="M97" s="54"/>
      <c r="N97" s="55"/>
      <c r="O97" s="64"/>
      <c r="P97" s="64"/>
      <c r="Q97" s="64"/>
      <c r="R97" s="57"/>
      <c r="S97" s="57"/>
      <c r="T97" s="57"/>
      <c r="U97" s="59"/>
      <c r="V97" s="42">
        <f t="shared" si="6"/>
        <v>0</v>
      </c>
      <c r="W97" s="60">
        <f t="shared" si="4"/>
        <v>0</v>
      </c>
      <c r="X97" s="44">
        <f t="shared" si="5"/>
        <v>0</v>
      </c>
    </row>
    <row r="98" spans="1:24" ht="15" x14ac:dyDescent="0.2">
      <c r="A98" s="62"/>
      <c r="B98" s="47"/>
      <c r="C98" s="47"/>
      <c r="D98" s="47"/>
      <c r="E98" s="47"/>
      <c r="F98" s="48"/>
      <c r="G98" s="47"/>
      <c r="H98" s="49"/>
      <c r="I98" s="91"/>
      <c r="J98" s="93"/>
      <c r="K98" s="52"/>
      <c r="L98" s="53"/>
      <c r="M98" s="54"/>
      <c r="N98" s="55"/>
      <c r="O98" s="64"/>
      <c r="P98" s="64"/>
      <c r="Q98" s="64"/>
      <c r="R98" s="57"/>
      <c r="S98" s="57"/>
      <c r="T98" s="57"/>
      <c r="U98" s="59"/>
      <c r="V98" s="42">
        <f t="shared" si="6"/>
        <v>0</v>
      </c>
      <c r="W98" s="60">
        <f t="shared" si="4"/>
        <v>0</v>
      </c>
      <c r="X98" s="44">
        <f t="shared" si="5"/>
        <v>0</v>
      </c>
    </row>
    <row r="99" spans="1:24" ht="15.75" x14ac:dyDescent="0.2">
      <c r="A99" s="62"/>
      <c r="B99" s="47"/>
      <c r="C99" s="47"/>
      <c r="D99" s="47"/>
      <c r="E99" s="47"/>
      <c r="F99" s="48"/>
      <c r="G99" s="47"/>
      <c r="H99" s="49"/>
      <c r="I99" s="46"/>
      <c r="J99" s="93"/>
      <c r="K99" s="52"/>
      <c r="L99" s="53"/>
      <c r="M99" s="67"/>
      <c r="N99" s="55"/>
      <c r="O99" s="56"/>
      <c r="P99" s="56"/>
      <c r="Q99" s="56"/>
      <c r="R99" s="57"/>
      <c r="S99" s="57"/>
      <c r="T99" s="57"/>
      <c r="U99" s="59"/>
      <c r="V99" s="42">
        <f t="shared" si="6"/>
        <v>0</v>
      </c>
      <c r="W99" s="60">
        <f t="shared" si="4"/>
        <v>0</v>
      </c>
      <c r="X99" s="44">
        <f t="shared" si="5"/>
        <v>0</v>
      </c>
    </row>
    <row r="100" spans="1:24" ht="15.75" x14ac:dyDescent="0.2">
      <c r="A100" s="62"/>
      <c r="B100" s="47"/>
      <c r="C100" s="47"/>
      <c r="D100" s="47"/>
      <c r="E100" s="47"/>
      <c r="F100" s="48"/>
      <c r="G100" s="47"/>
      <c r="H100" s="49"/>
      <c r="I100" s="46"/>
      <c r="J100" s="93"/>
      <c r="K100" s="52"/>
      <c r="L100" s="53"/>
      <c r="M100" s="67"/>
      <c r="N100" s="55"/>
      <c r="O100" s="56"/>
      <c r="P100" s="56"/>
      <c r="Q100" s="56"/>
      <c r="R100" s="57"/>
      <c r="S100" s="57"/>
      <c r="T100" s="57"/>
      <c r="U100" s="59"/>
      <c r="V100" s="42">
        <f t="shared" si="6"/>
        <v>0</v>
      </c>
      <c r="W100" s="60">
        <f t="shared" si="4"/>
        <v>0</v>
      </c>
      <c r="X100" s="44">
        <f t="shared" si="5"/>
        <v>0</v>
      </c>
    </row>
    <row r="101" spans="1:24" ht="15" x14ac:dyDescent="0.2">
      <c r="A101" s="62"/>
      <c r="B101" s="47"/>
      <c r="C101" s="47"/>
      <c r="D101" s="47"/>
      <c r="E101" s="47"/>
      <c r="F101" s="48"/>
      <c r="G101" s="47"/>
      <c r="H101" s="49"/>
      <c r="I101" s="94"/>
      <c r="J101" s="93"/>
      <c r="K101" s="52"/>
      <c r="L101" s="53"/>
      <c r="M101" s="54"/>
      <c r="N101" s="55"/>
      <c r="O101" s="64"/>
      <c r="P101" s="64"/>
      <c r="Q101" s="64"/>
      <c r="R101" s="57"/>
      <c r="S101" s="57"/>
      <c r="T101" s="57"/>
      <c r="U101" s="59"/>
      <c r="V101" s="42">
        <f t="shared" si="6"/>
        <v>0</v>
      </c>
      <c r="W101" s="60">
        <f t="shared" si="4"/>
        <v>0</v>
      </c>
      <c r="X101" s="44">
        <f t="shared" si="5"/>
        <v>0</v>
      </c>
    </row>
    <row r="102" spans="1:24" ht="15" x14ac:dyDescent="0.2">
      <c r="A102" s="62"/>
      <c r="B102" s="47"/>
      <c r="C102" s="47"/>
      <c r="D102" s="47"/>
      <c r="E102" s="47"/>
      <c r="F102" s="48"/>
      <c r="G102" s="47"/>
      <c r="H102" s="49"/>
      <c r="I102" s="91"/>
      <c r="J102" s="93"/>
      <c r="K102" s="52"/>
      <c r="L102" s="53"/>
      <c r="M102" s="54"/>
      <c r="N102" s="55"/>
      <c r="O102" s="64"/>
      <c r="P102" s="64"/>
      <c r="Q102" s="64"/>
      <c r="R102" s="57"/>
      <c r="S102" s="57"/>
      <c r="T102" s="57"/>
      <c r="U102" s="59"/>
      <c r="V102" s="42">
        <f t="shared" si="6"/>
        <v>0</v>
      </c>
      <c r="W102" s="60">
        <f t="shared" si="4"/>
        <v>0</v>
      </c>
      <c r="X102" s="44">
        <f t="shared" si="5"/>
        <v>0</v>
      </c>
    </row>
    <row r="103" spans="1:24" ht="15.75" x14ac:dyDescent="0.2">
      <c r="A103" s="45"/>
      <c r="B103" s="46"/>
      <c r="C103" s="46"/>
      <c r="D103" s="46"/>
      <c r="E103" s="47"/>
      <c r="F103" s="48"/>
      <c r="G103" s="47"/>
      <c r="H103" s="49"/>
      <c r="I103" s="46"/>
      <c r="J103" s="93"/>
      <c r="K103" s="52"/>
      <c r="L103" s="53"/>
      <c r="M103" s="71"/>
      <c r="N103" s="55"/>
      <c r="O103" s="56"/>
      <c r="P103" s="56"/>
      <c r="Q103" s="56"/>
      <c r="R103" s="57"/>
      <c r="S103" s="57"/>
      <c r="T103" s="57"/>
      <c r="U103" s="59"/>
      <c r="V103" s="42">
        <f t="shared" si="6"/>
        <v>0</v>
      </c>
      <c r="W103" s="60">
        <f t="shared" si="4"/>
        <v>0</v>
      </c>
      <c r="X103" s="44">
        <f t="shared" si="5"/>
        <v>0</v>
      </c>
    </row>
    <row r="104" spans="1:24" ht="15.75" x14ac:dyDescent="0.2">
      <c r="A104" s="62"/>
      <c r="B104" s="47"/>
      <c r="C104" s="47"/>
      <c r="D104" s="47"/>
      <c r="E104" s="47"/>
      <c r="F104" s="48"/>
      <c r="G104" s="47"/>
      <c r="H104" s="49"/>
      <c r="I104" s="46"/>
      <c r="J104" s="93"/>
      <c r="K104" s="52"/>
      <c r="L104" s="53"/>
      <c r="M104" s="67"/>
      <c r="N104" s="55"/>
      <c r="O104" s="56"/>
      <c r="P104" s="56"/>
      <c r="Q104" s="56"/>
      <c r="R104" s="57"/>
      <c r="S104" s="57"/>
      <c r="T104" s="57"/>
      <c r="U104" s="59"/>
      <c r="V104" s="42">
        <f t="shared" si="6"/>
        <v>0</v>
      </c>
      <c r="W104" s="60">
        <f t="shared" si="4"/>
        <v>0</v>
      </c>
      <c r="X104" s="44">
        <f t="shared" si="5"/>
        <v>0</v>
      </c>
    </row>
    <row r="105" spans="1:24" ht="15" x14ac:dyDescent="0.2">
      <c r="A105" s="62"/>
      <c r="B105" s="47"/>
      <c r="C105" s="47"/>
      <c r="D105" s="47"/>
      <c r="E105" s="47"/>
      <c r="F105" s="48"/>
      <c r="G105" s="47"/>
      <c r="H105" s="49"/>
      <c r="I105" s="91"/>
      <c r="J105" s="93"/>
      <c r="K105" s="52"/>
      <c r="L105" s="53"/>
      <c r="M105" s="54"/>
      <c r="N105" s="55"/>
      <c r="O105" s="64"/>
      <c r="P105" s="64"/>
      <c r="Q105" s="64"/>
      <c r="R105" s="57"/>
      <c r="S105" s="57"/>
      <c r="T105" s="57"/>
      <c r="U105" s="59"/>
      <c r="V105" s="42">
        <f t="shared" si="6"/>
        <v>0</v>
      </c>
      <c r="W105" s="60">
        <f t="shared" si="4"/>
        <v>0</v>
      </c>
      <c r="X105" s="44">
        <f t="shared" si="5"/>
        <v>0</v>
      </c>
    </row>
    <row r="106" spans="1:24" ht="15.75" x14ac:dyDescent="0.2">
      <c r="A106" s="45"/>
      <c r="B106" s="46"/>
      <c r="C106" s="46"/>
      <c r="D106" s="46"/>
      <c r="E106" s="47"/>
      <c r="F106" s="48"/>
      <c r="G106" s="47"/>
      <c r="H106" s="49"/>
      <c r="I106" s="46"/>
      <c r="J106" s="93"/>
      <c r="K106" s="52"/>
      <c r="L106" s="53"/>
      <c r="M106" s="71"/>
      <c r="N106" s="55"/>
      <c r="O106" s="56"/>
      <c r="P106" s="56"/>
      <c r="Q106" s="56"/>
      <c r="R106" s="57"/>
      <c r="S106" s="57"/>
      <c r="T106" s="57"/>
      <c r="U106" s="59"/>
      <c r="V106" s="42">
        <f t="shared" si="6"/>
        <v>0</v>
      </c>
      <c r="W106" s="60">
        <f t="shared" si="4"/>
        <v>0</v>
      </c>
      <c r="X106" s="44">
        <f t="shared" si="5"/>
        <v>0</v>
      </c>
    </row>
    <row r="107" spans="1:24" ht="15.75" x14ac:dyDescent="0.2">
      <c r="A107" s="45"/>
      <c r="B107" s="46"/>
      <c r="C107" s="46"/>
      <c r="D107" s="46"/>
      <c r="E107" s="47"/>
      <c r="F107" s="48"/>
      <c r="G107" s="47"/>
      <c r="H107" s="49"/>
      <c r="I107" s="46"/>
      <c r="J107" s="93"/>
      <c r="K107" s="52"/>
      <c r="L107" s="53"/>
      <c r="M107" s="71"/>
      <c r="N107" s="55"/>
      <c r="O107" s="56"/>
      <c r="P107" s="56"/>
      <c r="Q107" s="56"/>
      <c r="R107" s="57"/>
      <c r="S107" s="57"/>
      <c r="T107" s="57"/>
      <c r="U107" s="59"/>
      <c r="V107" s="42">
        <f t="shared" si="6"/>
        <v>0</v>
      </c>
      <c r="W107" s="60">
        <f t="shared" si="4"/>
        <v>0</v>
      </c>
      <c r="X107" s="44">
        <f t="shared" si="5"/>
        <v>0</v>
      </c>
    </row>
    <row r="108" spans="1:24" ht="15.75" x14ac:dyDescent="0.2">
      <c r="A108" s="62"/>
      <c r="B108" s="47"/>
      <c r="C108" s="47"/>
      <c r="D108" s="47"/>
      <c r="E108" s="47"/>
      <c r="F108" s="48"/>
      <c r="G108" s="47"/>
      <c r="H108" s="49"/>
      <c r="I108" s="46"/>
      <c r="J108" s="93"/>
      <c r="K108" s="52"/>
      <c r="L108" s="53"/>
      <c r="M108" s="67"/>
      <c r="N108" s="55"/>
      <c r="O108" s="56"/>
      <c r="P108" s="56"/>
      <c r="Q108" s="56"/>
      <c r="R108" s="57"/>
      <c r="S108" s="57"/>
      <c r="T108" s="57"/>
      <c r="U108" s="59"/>
      <c r="V108" s="42">
        <f t="shared" si="6"/>
        <v>0</v>
      </c>
      <c r="W108" s="60">
        <f t="shared" si="4"/>
        <v>0</v>
      </c>
      <c r="X108" s="44">
        <f t="shared" si="5"/>
        <v>0</v>
      </c>
    </row>
    <row r="109" spans="1:24" ht="15" x14ac:dyDescent="0.2">
      <c r="A109" s="62"/>
      <c r="B109" s="47"/>
      <c r="C109" s="47"/>
      <c r="D109" s="47"/>
      <c r="E109" s="47"/>
      <c r="F109" s="48"/>
      <c r="G109" s="47"/>
      <c r="H109" s="49"/>
      <c r="I109" s="91"/>
      <c r="J109" s="93"/>
      <c r="K109" s="52"/>
      <c r="L109" s="53"/>
      <c r="M109" s="54"/>
      <c r="N109" s="55"/>
      <c r="O109" s="64"/>
      <c r="P109" s="64"/>
      <c r="Q109" s="64"/>
      <c r="R109" s="57"/>
      <c r="S109" s="57"/>
      <c r="T109" s="57"/>
      <c r="U109" s="59"/>
      <c r="V109" s="42">
        <f t="shared" si="6"/>
        <v>0</v>
      </c>
      <c r="W109" s="60">
        <f t="shared" si="4"/>
        <v>0</v>
      </c>
      <c r="X109" s="44">
        <f t="shared" si="5"/>
        <v>0</v>
      </c>
    </row>
    <row r="110" spans="1:24" ht="15.75" x14ac:dyDescent="0.2">
      <c r="A110" s="45"/>
      <c r="B110" s="46"/>
      <c r="C110" s="46"/>
      <c r="D110" s="46"/>
      <c r="E110" s="47"/>
      <c r="F110" s="48"/>
      <c r="G110" s="47"/>
      <c r="H110" s="49"/>
      <c r="I110" s="46"/>
      <c r="J110" s="93"/>
      <c r="K110" s="52"/>
      <c r="L110" s="53"/>
      <c r="M110" s="71"/>
      <c r="N110" s="55"/>
      <c r="O110" s="56"/>
      <c r="P110" s="56"/>
      <c r="Q110" s="56"/>
      <c r="R110" s="57"/>
      <c r="S110" s="57"/>
      <c r="T110" s="57"/>
      <c r="U110" s="59"/>
      <c r="V110" s="42">
        <f t="shared" si="6"/>
        <v>0</v>
      </c>
      <c r="W110" s="60">
        <f t="shared" si="4"/>
        <v>0</v>
      </c>
      <c r="X110" s="44">
        <f t="shared" si="5"/>
        <v>0</v>
      </c>
    </row>
    <row r="111" spans="1:24" ht="15.75" x14ac:dyDescent="0.2">
      <c r="A111" s="45"/>
      <c r="B111" s="46"/>
      <c r="C111" s="46"/>
      <c r="D111" s="46"/>
      <c r="E111" s="47"/>
      <c r="F111" s="48"/>
      <c r="G111" s="47"/>
      <c r="H111" s="49"/>
      <c r="I111" s="46"/>
      <c r="J111" s="93"/>
      <c r="K111" s="52"/>
      <c r="L111" s="53"/>
      <c r="M111" s="71"/>
      <c r="N111" s="55"/>
      <c r="O111" s="56"/>
      <c r="P111" s="56"/>
      <c r="Q111" s="56"/>
      <c r="R111" s="57"/>
      <c r="S111" s="57"/>
      <c r="T111" s="57"/>
      <c r="U111" s="59"/>
      <c r="V111" s="42">
        <f t="shared" si="6"/>
        <v>0</v>
      </c>
      <c r="W111" s="60">
        <f t="shared" si="4"/>
        <v>0</v>
      </c>
      <c r="X111" s="44">
        <f t="shared" si="5"/>
        <v>0</v>
      </c>
    </row>
    <row r="112" spans="1:24" ht="15.75" x14ac:dyDescent="0.2">
      <c r="A112" s="45"/>
      <c r="B112" s="46"/>
      <c r="C112" s="46"/>
      <c r="D112" s="46"/>
      <c r="E112" s="47"/>
      <c r="F112" s="48"/>
      <c r="G112" s="47"/>
      <c r="H112" s="49"/>
      <c r="I112" s="46"/>
      <c r="J112" s="93"/>
      <c r="K112" s="52"/>
      <c r="L112" s="53"/>
      <c r="M112" s="71"/>
      <c r="N112" s="55"/>
      <c r="O112" s="56"/>
      <c r="P112" s="56"/>
      <c r="Q112" s="56"/>
      <c r="R112" s="57"/>
      <c r="S112" s="57"/>
      <c r="T112" s="57"/>
      <c r="U112" s="59"/>
      <c r="V112" s="42">
        <f t="shared" si="6"/>
        <v>0</v>
      </c>
      <c r="W112" s="60">
        <f t="shared" si="4"/>
        <v>0</v>
      </c>
      <c r="X112" s="44">
        <f t="shared" si="5"/>
        <v>0</v>
      </c>
    </row>
    <row r="113" spans="1:24" ht="15" x14ac:dyDescent="0.2">
      <c r="A113" s="62"/>
      <c r="B113" s="47"/>
      <c r="C113" s="47"/>
      <c r="D113" s="47"/>
      <c r="E113" s="47"/>
      <c r="F113" s="48"/>
      <c r="G113" s="47"/>
      <c r="H113" s="49"/>
      <c r="I113" s="91"/>
      <c r="J113" s="93"/>
      <c r="K113" s="52"/>
      <c r="L113" s="53"/>
      <c r="M113" s="54"/>
      <c r="N113" s="55"/>
      <c r="O113" s="64"/>
      <c r="P113" s="64"/>
      <c r="Q113" s="64"/>
      <c r="R113" s="57"/>
      <c r="S113" s="57"/>
      <c r="T113" s="57"/>
      <c r="U113" s="59"/>
      <c r="V113" s="42">
        <f t="shared" si="6"/>
        <v>0</v>
      </c>
      <c r="W113" s="60">
        <f t="shared" si="4"/>
        <v>0</v>
      </c>
      <c r="X113" s="44">
        <f t="shared" si="5"/>
        <v>0</v>
      </c>
    </row>
    <row r="114" spans="1:24" ht="15.75" x14ac:dyDescent="0.2">
      <c r="A114" s="62"/>
      <c r="B114" s="47"/>
      <c r="C114" s="47"/>
      <c r="D114" s="47"/>
      <c r="E114" s="47"/>
      <c r="F114" s="48"/>
      <c r="G114" s="47"/>
      <c r="H114" s="49"/>
      <c r="I114" s="46"/>
      <c r="J114" s="93"/>
      <c r="K114" s="52"/>
      <c r="L114" s="53"/>
      <c r="M114" s="67"/>
      <c r="N114" s="55"/>
      <c r="O114" s="56"/>
      <c r="P114" s="56"/>
      <c r="Q114" s="56"/>
      <c r="R114" s="57"/>
      <c r="S114" s="57"/>
      <c r="T114" s="57"/>
      <c r="U114" s="59"/>
      <c r="V114" s="42">
        <f t="shared" si="6"/>
        <v>0</v>
      </c>
      <c r="W114" s="60">
        <f t="shared" si="4"/>
        <v>0</v>
      </c>
      <c r="X114" s="44">
        <f t="shared" si="5"/>
        <v>0</v>
      </c>
    </row>
    <row r="115" spans="1:24" ht="15" x14ac:dyDescent="0.2">
      <c r="A115" s="62"/>
      <c r="B115" s="47"/>
      <c r="C115" s="47"/>
      <c r="D115" s="47"/>
      <c r="E115" s="47"/>
      <c r="F115" s="48"/>
      <c r="G115" s="47"/>
      <c r="H115" s="49"/>
      <c r="I115" s="91"/>
      <c r="J115" s="93"/>
      <c r="K115" s="52"/>
      <c r="L115" s="53"/>
      <c r="M115" s="54"/>
      <c r="N115" s="55"/>
      <c r="O115" s="64"/>
      <c r="P115" s="64"/>
      <c r="Q115" s="64"/>
      <c r="R115" s="57"/>
      <c r="S115" s="57"/>
      <c r="T115" s="57"/>
      <c r="U115" s="59"/>
      <c r="V115" s="42">
        <f t="shared" si="6"/>
        <v>0</v>
      </c>
      <c r="W115" s="60">
        <f t="shared" si="4"/>
        <v>0</v>
      </c>
      <c r="X115" s="44">
        <f t="shared" si="5"/>
        <v>0</v>
      </c>
    </row>
    <row r="116" spans="1:24" ht="15.75" x14ac:dyDescent="0.2">
      <c r="A116" s="45"/>
      <c r="B116" s="46"/>
      <c r="C116" s="46"/>
      <c r="D116" s="46"/>
      <c r="E116" s="47"/>
      <c r="F116" s="48"/>
      <c r="G116" s="47"/>
      <c r="H116" s="49"/>
      <c r="I116" s="46"/>
      <c r="J116" s="93"/>
      <c r="K116" s="52"/>
      <c r="L116" s="53"/>
      <c r="M116" s="71"/>
      <c r="N116" s="55"/>
      <c r="O116" s="56"/>
      <c r="P116" s="56"/>
      <c r="Q116" s="56"/>
      <c r="R116" s="57"/>
      <c r="S116" s="57"/>
      <c r="T116" s="57"/>
      <c r="U116" s="59"/>
      <c r="V116" s="42">
        <f t="shared" si="6"/>
        <v>0</v>
      </c>
      <c r="W116" s="60">
        <f t="shared" si="4"/>
        <v>0</v>
      </c>
      <c r="X116" s="44">
        <f t="shared" si="5"/>
        <v>0</v>
      </c>
    </row>
    <row r="117" spans="1:24" ht="15" x14ac:dyDescent="0.2">
      <c r="A117" s="62"/>
      <c r="B117" s="47"/>
      <c r="C117" s="47"/>
      <c r="D117" s="47"/>
      <c r="E117" s="47"/>
      <c r="F117" s="48"/>
      <c r="G117" s="47"/>
      <c r="H117" s="49"/>
      <c r="I117" s="91"/>
      <c r="J117" s="93"/>
      <c r="K117" s="52"/>
      <c r="L117" s="53"/>
      <c r="M117" s="54"/>
      <c r="N117" s="55"/>
      <c r="O117" s="64"/>
      <c r="P117" s="64"/>
      <c r="Q117" s="64"/>
      <c r="R117" s="57"/>
      <c r="S117" s="57"/>
      <c r="T117" s="57"/>
      <c r="U117" s="59"/>
      <c r="V117" s="42">
        <f t="shared" si="6"/>
        <v>0</v>
      </c>
      <c r="W117" s="60">
        <f t="shared" si="4"/>
        <v>0</v>
      </c>
      <c r="X117" s="44">
        <f t="shared" si="5"/>
        <v>0</v>
      </c>
    </row>
    <row r="118" spans="1:24" ht="15.75" x14ac:dyDescent="0.2">
      <c r="A118" s="45"/>
      <c r="B118" s="46"/>
      <c r="C118" s="46"/>
      <c r="D118" s="46"/>
      <c r="E118" s="47"/>
      <c r="F118" s="48"/>
      <c r="G118" s="47"/>
      <c r="H118" s="49"/>
      <c r="I118" s="46"/>
      <c r="J118" s="93"/>
      <c r="K118" s="52"/>
      <c r="L118" s="53"/>
      <c r="M118" s="71"/>
      <c r="N118" s="55"/>
      <c r="O118" s="56"/>
      <c r="P118" s="56"/>
      <c r="Q118" s="56"/>
      <c r="R118" s="57"/>
      <c r="S118" s="57"/>
      <c r="T118" s="57"/>
      <c r="U118" s="59"/>
      <c r="V118" s="42">
        <f t="shared" si="6"/>
        <v>0</v>
      </c>
      <c r="W118" s="60">
        <f t="shared" si="4"/>
        <v>0</v>
      </c>
      <c r="X118" s="44">
        <f t="shared" si="5"/>
        <v>0</v>
      </c>
    </row>
    <row r="119" spans="1:24" ht="15" x14ac:dyDescent="0.2">
      <c r="A119" s="62"/>
      <c r="B119" s="47"/>
      <c r="C119" s="47"/>
      <c r="D119" s="47"/>
      <c r="E119" s="47"/>
      <c r="F119" s="48"/>
      <c r="G119" s="47"/>
      <c r="H119" s="49"/>
      <c r="I119" s="91"/>
      <c r="J119" s="93"/>
      <c r="K119" s="52"/>
      <c r="L119" s="53"/>
      <c r="M119" s="54"/>
      <c r="N119" s="55"/>
      <c r="O119" s="64"/>
      <c r="P119" s="64"/>
      <c r="Q119" s="64"/>
      <c r="R119" s="57"/>
      <c r="S119" s="57"/>
      <c r="T119" s="57"/>
      <c r="U119" s="59"/>
      <c r="V119" s="42">
        <f t="shared" si="6"/>
        <v>0</v>
      </c>
      <c r="W119" s="60">
        <f t="shared" si="4"/>
        <v>0</v>
      </c>
      <c r="X119" s="44">
        <f t="shared" si="5"/>
        <v>0</v>
      </c>
    </row>
    <row r="120" spans="1:24" ht="15.75" x14ac:dyDescent="0.2">
      <c r="A120" s="45"/>
      <c r="B120" s="46"/>
      <c r="C120" s="46"/>
      <c r="D120" s="46"/>
      <c r="E120" s="47"/>
      <c r="F120" s="48"/>
      <c r="G120" s="47"/>
      <c r="H120" s="49"/>
      <c r="I120" s="46"/>
      <c r="J120" s="93"/>
      <c r="K120" s="52"/>
      <c r="L120" s="53"/>
      <c r="M120" s="71"/>
      <c r="N120" s="55"/>
      <c r="O120" s="56"/>
      <c r="P120" s="56"/>
      <c r="Q120" s="56"/>
      <c r="R120" s="57"/>
      <c r="S120" s="57"/>
      <c r="T120" s="57"/>
      <c r="U120" s="59"/>
      <c r="V120" s="42">
        <f t="shared" si="6"/>
        <v>0</v>
      </c>
      <c r="W120" s="60">
        <f t="shared" si="4"/>
        <v>0</v>
      </c>
      <c r="X120" s="44">
        <f t="shared" si="5"/>
        <v>0</v>
      </c>
    </row>
    <row r="121" spans="1:24" ht="15.75" x14ac:dyDescent="0.2">
      <c r="A121" s="95"/>
      <c r="B121" s="96"/>
      <c r="C121" s="96"/>
      <c r="D121" s="96"/>
      <c r="E121" s="47"/>
      <c r="F121" s="48"/>
      <c r="G121" s="47"/>
      <c r="H121" s="49"/>
      <c r="I121" s="46"/>
      <c r="J121" s="93"/>
      <c r="K121" s="52"/>
      <c r="L121" s="53"/>
      <c r="M121" s="67"/>
      <c r="N121" s="55"/>
      <c r="O121" s="56"/>
      <c r="P121" s="56"/>
      <c r="Q121" s="56"/>
      <c r="R121" s="57"/>
      <c r="S121" s="57"/>
      <c r="T121" s="57"/>
      <c r="U121" s="59"/>
      <c r="V121" s="42">
        <f t="shared" si="6"/>
        <v>0</v>
      </c>
      <c r="W121" s="60">
        <f t="shared" si="4"/>
        <v>0</v>
      </c>
      <c r="X121" s="44">
        <f t="shared" si="5"/>
        <v>0</v>
      </c>
    </row>
    <row r="122" spans="1:24" ht="15.75" x14ac:dyDescent="0.2">
      <c r="A122" s="45"/>
      <c r="B122" s="46"/>
      <c r="C122" s="46"/>
      <c r="D122" s="46"/>
      <c r="E122" s="47"/>
      <c r="F122" s="48"/>
      <c r="G122" s="47"/>
      <c r="H122" s="47"/>
      <c r="I122" s="46"/>
      <c r="J122" s="93"/>
      <c r="K122" s="52"/>
      <c r="L122" s="53"/>
      <c r="M122" s="71"/>
      <c r="N122" s="55"/>
      <c r="O122" s="56"/>
      <c r="P122" s="56"/>
      <c r="Q122" s="56"/>
      <c r="R122" s="57"/>
      <c r="S122" s="57"/>
      <c r="T122" s="57"/>
      <c r="U122" s="59"/>
      <c r="V122" s="42">
        <f t="shared" si="6"/>
        <v>0</v>
      </c>
      <c r="W122" s="60">
        <f t="shared" si="4"/>
        <v>0</v>
      </c>
      <c r="X122" s="44">
        <f t="shared" si="5"/>
        <v>0</v>
      </c>
    </row>
    <row r="123" spans="1:24" ht="15.75" x14ac:dyDescent="0.2">
      <c r="A123" s="62"/>
      <c r="B123" s="47"/>
      <c r="C123" s="47"/>
      <c r="D123" s="47"/>
      <c r="E123" s="47"/>
      <c r="F123" s="48"/>
      <c r="G123" s="47"/>
      <c r="H123" s="47"/>
      <c r="I123" s="46"/>
      <c r="J123" s="93"/>
      <c r="K123" s="52"/>
      <c r="L123" s="53"/>
      <c r="M123" s="67"/>
      <c r="N123" s="55"/>
      <c r="O123" s="56"/>
      <c r="P123" s="56"/>
      <c r="Q123" s="56"/>
      <c r="R123" s="57"/>
      <c r="S123" s="57"/>
      <c r="T123" s="57"/>
      <c r="U123" s="59"/>
      <c r="V123" s="42">
        <f t="shared" si="6"/>
        <v>0</v>
      </c>
      <c r="W123" s="60">
        <f t="shared" si="4"/>
        <v>0</v>
      </c>
      <c r="X123" s="44">
        <f t="shared" si="5"/>
        <v>0</v>
      </c>
    </row>
    <row r="124" spans="1:24" ht="15.75" x14ac:dyDescent="0.2">
      <c r="A124" s="45"/>
      <c r="B124" s="46"/>
      <c r="C124" s="46"/>
      <c r="D124" s="46"/>
      <c r="E124" s="47"/>
      <c r="F124" s="48"/>
      <c r="G124" s="47"/>
      <c r="H124" s="47"/>
      <c r="I124" s="46"/>
      <c r="J124" s="93"/>
      <c r="K124" s="52"/>
      <c r="L124" s="53"/>
      <c r="M124" s="71"/>
      <c r="N124" s="55"/>
      <c r="O124" s="56"/>
      <c r="P124" s="56"/>
      <c r="Q124" s="56"/>
      <c r="R124" s="57"/>
      <c r="S124" s="57"/>
      <c r="T124" s="57"/>
      <c r="U124" s="59"/>
      <c r="V124" s="42">
        <f t="shared" si="6"/>
        <v>0</v>
      </c>
      <c r="W124" s="60">
        <f t="shared" si="4"/>
        <v>0</v>
      </c>
      <c r="X124" s="44">
        <f t="shared" si="5"/>
        <v>0</v>
      </c>
    </row>
    <row r="125" spans="1:24" ht="15" x14ac:dyDescent="0.2">
      <c r="A125" s="62"/>
      <c r="B125" s="47"/>
      <c r="C125" s="47"/>
      <c r="D125" s="47"/>
      <c r="E125" s="47"/>
      <c r="F125" s="48"/>
      <c r="G125" s="47"/>
      <c r="H125" s="47"/>
      <c r="I125" s="91"/>
      <c r="J125" s="93"/>
      <c r="K125" s="52"/>
      <c r="L125" s="53"/>
      <c r="M125" s="54"/>
      <c r="N125" s="55"/>
      <c r="O125" s="64"/>
      <c r="P125" s="64"/>
      <c r="Q125" s="64"/>
      <c r="R125" s="57"/>
      <c r="S125" s="57"/>
      <c r="T125" s="57"/>
      <c r="U125" s="59"/>
      <c r="V125" s="42">
        <f t="shared" si="6"/>
        <v>0</v>
      </c>
      <c r="W125" s="60">
        <f t="shared" si="4"/>
        <v>0</v>
      </c>
      <c r="X125" s="44">
        <f t="shared" si="5"/>
        <v>0</v>
      </c>
    </row>
    <row r="126" spans="1:24" ht="15" x14ac:dyDescent="0.2">
      <c r="A126" s="62"/>
      <c r="B126" s="47"/>
      <c r="C126" s="47"/>
      <c r="D126" s="47"/>
      <c r="E126" s="47"/>
      <c r="F126" s="48"/>
      <c r="G126" s="47"/>
      <c r="H126" s="47"/>
      <c r="I126" s="91"/>
      <c r="J126" s="93"/>
      <c r="K126" s="52"/>
      <c r="L126" s="53"/>
      <c r="M126" s="54"/>
      <c r="N126" s="55"/>
      <c r="O126" s="64"/>
      <c r="P126" s="64"/>
      <c r="Q126" s="64"/>
      <c r="R126" s="57"/>
      <c r="S126" s="57"/>
      <c r="T126" s="57"/>
      <c r="U126" s="59"/>
      <c r="V126" s="42">
        <f t="shared" si="6"/>
        <v>0</v>
      </c>
      <c r="W126" s="60">
        <f t="shared" si="4"/>
        <v>0</v>
      </c>
      <c r="X126" s="44">
        <f t="shared" si="5"/>
        <v>0</v>
      </c>
    </row>
    <row r="127" spans="1:24" ht="15.75" x14ac:dyDescent="0.2">
      <c r="A127" s="45"/>
      <c r="B127" s="46"/>
      <c r="C127" s="46"/>
      <c r="D127" s="46"/>
      <c r="E127" s="47"/>
      <c r="F127" s="48"/>
      <c r="G127" s="47"/>
      <c r="H127" s="47"/>
      <c r="I127" s="46"/>
      <c r="J127" s="93"/>
      <c r="K127" s="52"/>
      <c r="L127" s="53"/>
      <c r="M127" s="71"/>
      <c r="N127" s="55"/>
      <c r="O127" s="56"/>
      <c r="P127" s="56"/>
      <c r="Q127" s="56"/>
      <c r="R127" s="57"/>
      <c r="S127" s="57"/>
      <c r="T127" s="57"/>
      <c r="U127" s="59"/>
      <c r="V127" s="42">
        <f t="shared" si="6"/>
        <v>0</v>
      </c>
      <c r="W127" s="60">
        <f t="shared" si="4"/>
        <v>0</v>
      </c>
      <c r="X127" s="44">
        <f t="shared" si="5"/>
        <v>0</v>
      </c>
    </row>
    <row r="128" spans="1:24" ht="15.75" x14ac:dyDescent="0.2">
      <c r="A128" s="45"/>
      <c r="B128" s="46"/>
      <c r="C128" s="46"/>
      <c r="D128" s="46"/>
      <c r="E128" s="47"/>
      <c r="F128" s="48"/>
      <c r="G128" s="47"/>
      <c r="H128" s="47"/>
      <c r="I128" s="46"/>
      <c r="J128" s="93"/>
      <c r="K128" s="52"/>
      <c r="L128" s="53"/>
      <c r="M128" s="71"/>
      <c r="N128" s="55"/>
      <c r="O128" s="56"/>
      <c r="P128" s="56"/>
      <c r="Q128" s="56"/>
      <c r="R128" s="57"/>
      <c r="S128" s="57"/>
      <c r="T128" s="57"/>
      <c r="U128" s="59"/>
      <c r="V128" s="42">
        <f t="shared" si="6"/>
        <v>0</v>
      </c>
      <c r="W128" s="60">
        <f t="shared" si="4"/>
        <v>0</v>
      </c>
      <c r="X128" s="44">
        <f t="shared" si="5"/>
        <v>0</v>
      </c>
    </row>
    <row r="129" spans="1:24" ht="15" x14ac:dyDescent="0.2">
      <c r="A129" s="62"/>
      <c r="B129" s="47"/>
      <c r="C129" s="47"/>
      <c r="D129" s="47"/>
      <c r="E129" s="47"/>
      <c r="F129" s="48"/>
      <c r="G129" s="47"/>
      <c r="H129" s="47"/>
      <c r="I129" s="91"/>
      <c r="J129" s="93"/>
      <c r="K129" s="52"/>
      <c r="L129" s="53"/>
      <c r="M129" s="54"/>
      <c r="N129" s="55"/>
      <c r="O129" s="64"/>
      <c r="P129" s="64"/>
      <c r="Q129" s="64"/>
      <c r="R129" s="57"/>
      <c r="S129" s="57"/>
      <c r="T129" s="57"/>
      <c r="U129" s="59"/>
      <c r="V129" s="42">
        <f t="shared" si="6"/>
        <v>0</v>
      </c>
      <c r="W129" s="60">
        <f t="shared" si="4"/>
        <v>0</v>
      </c>
      <c r="X129" s="44">
        <f t="shared" si="5"/>
        <v>0</v>
      </c>
    </row>
    <row r="130" spans="1:24" ht="15.75" x14ac:dyDescent="0.2">
      <c r="A130" s="45"/>
      <c r="B130" s="46"/>
      <c r="C130" s="46"/>
      <c r="D130" s="46"/>
      <c r="E130" s="47"/>
      <c r="F130" s="48"/>
      <c r="G130" s="47"/>
      <c r="H130" s="47"/>
      <c r="I130" s="46"/>
      <c r="J130" s="93"/>
      <c r="K130" s="52"/>
      <c r="L130" s="53"/>
      <c r="M130" s="71"/>
      <c r="N130" s="55"/>
      <c r="O130" s="56"/>
      <c r="P130" s="56"/>
      <c r="Q130" s="56"/>
      <c r="R130" s="57"/>
      <c r="S130" s="57"/>
      <c r="T130" s="57"/>
      <c r="U130" s="59"/>
      <c r="V130" s="42">
        <f t="shared" si="6"/>
        <v>0</v>
      </c>
      <c r="W130" s="60">
        <f t="shared" si="4"/>
        <v>0</v>
      </c>
      <c r="X130" s="44">
        <f t="shared" si="5"/>
        <v>0</v>
      </c>
    </row>
    <row r="131" spans="1:24" ht="15" x14ac:dyDescent="0.2">
      <c r="A131" s="62"/>
      <c r="B131" s="47"/>
      <c r="C131" s="47"/>
      <c r="D131" s="47"/>
      <c r="E131" s="47"/>
      <c r="F131" s="48"/>
      <c r="G131" s="47"/>
      <c r="H131" s="47"/>
      <c r="I131" s="91"/>
      <c r="J131" s="93"/>
      <c r="K131" s="52"/>
      <c r="L131" s="53"/>
      <c r="M131" s="54"/>
      <c r="N131" s="55"/>
      <c r="O131" s="64"/>
      <c r="P131" s="64"/>
      <c r="Q131" s="64"/>
      <c r="R131" s="57"/>
      <c r="S131" s="57"/>
      <c r="T131" s="57"/>
      <c r="U131" s="59"/>
      <c r="V131" s="42">
        <f t="shared" si="6"/>
        <v>0</v>
      </c>
      <c r="W131" s="60">
        <f t="shared" si="4"/>
        <v>0</v>
      </c>
      <c r="X131" s="44">
        <f t="shared" si="5"/>
        <v>0</v>
      </c>
    </row>
    <row r="132" spans="1:24" ht="15" x14ac:dyDescent="0.2">
      <c r="A132" s="62"/>
      <c r="B132" s="47"/>
      <c r="C132" s="47"/>
      <c r="D132" s="47"/>
      <c r="E132" s="47"/>
      <c r="F132" s="48"/>
      <c r="G132" s="47"/>
      <c r="H132" s="47"/>
      <c r="I132" s="91"/>
      <c r="J132" s="93"/>
      <c r="K132" s="52"/>
      <c r="L132" s="53"/>
      <c r="M132" s="54"/>
      <c r="N132" s="55"/>
      <c r="O132" s="56"/>
      <c r="P132" s="56"/>
      <c r="Q132" s="56"/>
      <c r="R132" s="57"/>
      <c r="S132" s="57"/>
      <c r="T132" s="57"/>
      <c r="U132" s="59"/>
      <c r="V132" s="42">
        <f t="shared" si="6"/>
        <v>0</v>
      </c>
      <c r="W132" s="60">
        <f t="shared" ref="W132:W195" si="7">V132*M132</f>
        <v>0</v>
      </c>
      <c r="X132" s="44">
        <f t="shared" ref="X132:X195" si="8">P132*$AA$30+Q132*$AA$31+N132*$AA$28+O132*$AA$29+R132*M132*$AA$32+S132*M132*$AA$33+T132*M132*$AA$34+V132*M132*$AA$35+U132*M132*$AA$36</f>
        <v>0</v>
      </c>
    </row>
    <row r="133" spans="1:24" ht="15" x14ac:dyDescent="0.2">
      <c r="A133" s="62"/>
      <c r="B133" s="47"/>
      <c r="C133" s="47"/>
      <c r="D133" s="47"/>
      <c r="E133" s="47"/>
      <c r="F133" s="48"/>
      <c r="G133" s="47"/>
      <c r="H133" s="47"/>
      <c r="I133" s="91"/>
      <c r="J133" s="93"/>
      <c r="K133" s="52"/>
      <c r="L133" s="53"/>
      <c r="M133" s="54"/>
      <c r="N133" s="55"/>
      <c r="O133" s="56"/>
      <c r="P133" s="56"/>
      <c r="Q133" s="56"/>
      <c r="R133" s="57"/>
      <c r="S133" s="57"/>
      <c r="T133" s="57"/>
      <c r="U133" s="59"/>
      <c r="V133" s="42">
        <f t="shared" si="6"/>
        <v>0</v>
      </c>
      <c r="W133" s="60">
        <f t="shared" si="7"/>
        <v>0</v>
      </c>
      <c r="X133" s="44">
        <f t="shared" si="8"/>
        <v>0</v>
      </c>
    </row>
    <row r="134" spans="1:24" ht="15" x14ac:dyDescent="0.2">
      <c r="A134" s="62"/>
      <c r="B134" s="47"/>
      <c r="C134" s="47"/>
      <c r="D134" s="47"/>
      <c r="E134" s="47"/>
      <c r="F134" s="48"/>
      <c r="G134" s="47"/>
      <c r="H134" s="47"/>
      <c r="I134" s="47"/>
      <c r="J134" s="93"/>
      <c r="K134" s="52"/>
      <c r="L134" s="53"/>
      <c r="M134" s="71"/>
      <c r="N134" s="55"/>
      <c r="O134" s="56"/>
      <c r="P134" s="56"/>
      <c r="Q134" s="56"/>
      <c r="R134" s="57"/>
      <c r="S134" s="57"/>
      <c r="T134" s="57"/>
      <c r="U134" s="59"/>
      <c r="V134" s="42">
        <f t="shared" si="6"/>
        <v>0</v>
      </c>
      <c r="W134" s="60">
        <f t="shared" si="7"/>
        <v>0</v>
      </c>
      <c r="X134" s="44">
        <f t="shared" si="8"/>
        <v>0</v>
      </c>
    </row>
    <row r="135" spans="1:24" ht="15" x14ac:dyDescent="0.2">
      <c r="A135" s="62"/>
      <c r="B135" s="47"/>
      <c r="C135" s="47"/>
      <c r="D135" s="47"/>
      <c r="E135" s="47"/>
      <c r="F135" s="48"/>
      <c r="G135" s="47"/>
      <c r="H135" s="47"/>
      <c r="I135" s="47"/>
      <c r="J135" s="93"/>
      <c r="K135" s="52"/>
      <c r="L135" s="53"/>
      <c r="M135" s="71"/>
      <c r="N135" s="55"/>
      <c r="O135" s="56"/>
      <c r="P135" s="56"/>
      <c r="Q135" s="56"/>
      <c r="R135" s="57"/>
      <c r="S135" s="57"/>
      <c r="T135" s="57"/>
      <c r="U135" s="59"/>
      <c r="V135" s="42">
        <f t="shared" si="6"/>
        <v>0</v>
      </c>
      <c r="W135" s="60">
        <f t="shared" si="7"/>
        <v>0</v>
      </c>
      <c r="X135" s="44">
        <f t="shared" si="8"/>
        <v>0</v>
      </c>
    </row>
    <row r="136" spans="1:24" ht="15" x14ac:dyDescent="0.2">
      <c r="A136" s="62"/>
      <c r="B136" s="47"/>
      <c r="C136" s="47"/>
      <c r="D136" s="47"/>
      <c r="E136" s="47"/>
      <c r="F136" s="48"/>
      <c r="G136" s="47"/>
      <c r="H136" s="47"/>
      <c r="I136" s="47"/>
      <c r="J136" s="93"/>
      <c r="K136" s="52"/>
      <c r="L136" s="53"/>
      <c r="M136" s="71"/>
      <c r="N136" s="55"/>
      <c r="O136" s="56"/>
      <c r="P136" s="56"/>
      <c r="Q136" s="56"/>
      <c r="R136" s="57"/>
      <c r="S136" s="57"/>
      <c r="T136" s="57"/>
      <c r="U136" s="59"/>
      <c r="V136" s="42">
        <f t="shared" ref="V136:V199" si="9">IF(ISBLANK(L136),0,IF(L136=0,0,IF(L136&gt;0,1)))</f>
        <v>0</v>
      </c>
      <c r="W136" s="60">
        <f t="shared" si="7"/>
        <v>0</v>
      </c>
      <c r="X136" s="44">
        <f t="shared" si="8"/>
        <v>0</v>
      </c>
    </row>
    <row r="137" spans="1:24" ht="15" x14ac:dyDescent="0.2">
      <c r="A137" s="62"/>
      <c r="B137" s="47"/>
      <c r="C137" s="47"/>
      <c r="D137" s="47"/>
      <c r="E137" s="47"/>
      <c r="F137" s="48"/>
      <c r="G137" s="47"/>
      <c r="H137" s="47"/>
      <c r="I137" s="97"/>
      <c r="J137" s="93"/>
      <c r="K137" s="52"/>
      <c r="L137" s="53"/>
      <c r="M137" s="71"/>
      <c r="N137" s="55"/>
      <c r="O137" s="56"/>
      <c r="P137" s="56"/>
      <c r="Q137" s="56"/>
      <c r="R137" s="57"/>
      <c r="S137" s="57"/>
      <c r="T137" s="57"/>
      <c r="U137" s="59"/>
      <c r="V137" s="42">
        <f t="shared" si="9"/>
        <v>0</v>
      </c>
      <c r="W137" s="60">
        <f t="shared" si="7"/>
        <v>0</v>
      </c>
      <c r="X137" s="44">
        <f t="shared" si="8"/>
        <v>0</v>
      </c>
    </row>
    <row r="138" spans="1:24" ht="15" x14ac:dyDescent="0.2">
      <c r="A138" s="62"/>
      <c r="B138" s="47"/>
      <c r="C138" s="47"/>
      <c r="D138" s="47"/>
      <c r="E138" s="47"/>
      <c r="F138" s="48"/>
      <c r="G138" s="47"/>
      <c r="H138" s="47"/>
      <c r="I138" s="47"/>
      <c r="J138" s="93"/>
      <c r="K138" s="52"/>
      <c r="L138" s="53"/>
      <c r="M138" s="71"/>
      <c r="N138" s="55"/>
      <c r="O138" s="56"/>
      <c r="P138" s="56"/>
      <c r="Q138" s="56"/>
      <c r="R138" s="57"/>
      <c r="S138" s="57"/>
      <c r="T138" s="57"/>
      <c r="U138" s="59"/>
      <c r="V138" s="42">
        <f t="shared" si="9"/>
        <v>0</v>
      </c>
      <c r="W138" s="60">
        <f t="shared" si="7"/>
        <v>0</v>
      </c>
      <c r="X138" s="44">
        <f t="shared" si="8"/>
        <v>0</v>
      </c>
    </row>
    <row r="139" spans="1:24" ht="15" x14ac:dyDescent="0.2">
      <c r="A139" s="62"/>
      <c r="B139" s="47"/>
      <c r="C139" s="47"/>
      <c r="D139" s="47"/>
      <c r="E139" s="47"/>
      <c r="F139" s="48"/>
      <c r="G139" s="47"/>
      <c r="H139" s="47"/>
      <c r="I139" s="47"/>
      <c r="J139" s="93"/>
      <c r="K139" s="52"/>
      <c r="L139" s="53"/>
      <c r="M139" s="71"/>
      <c r="N139" s="55"/>
      <c r="O139" s="56"/>
      <c r="P139" s="56"/>
      <c r="Q139" s="56"/>
      <c r="R139" s="57"/>
      <c r="S139" s="57"/>
      <c r="T139" s="57"/>
      <c r="U139" s="59"/>
      <c r="V139" s="42">
        <f t="shared" si="9"/>
        <v>0</v>
      </c>
      <c r="W139" s="60">
        <f t="shared" si="7"/>
        <v>0</v>
      </c>
      <c r="X139" s="44">
        <f t="shared" si="8"/>
        <v>0</v>
      </c>
    </row>
    <row r="140" spans="1:24" ht="15" x14ac:dyDescent="0.2">
      <c r="A140" s="62"/>
      <c r="B140" s="47"/>
      <c r="C140" s="47"/>
      <c r="D140" s="47"/>
      <c r="E140" s="47"/>
      <c r="F140" s="48"/>
      <c r="G140" s="47"/>
      <c r="H140" s="47"/>
      <c r="I140" s="47"/>
      <c r="J140" s="93"/>
      <c r="K140" s="52"/>
      <c r="L140" s="53"/>
      <c r="M140" s="71"/>
      <c r="N140" s="55"/>
      <c r="O140" s="56"/>
      <c r="P140" s="56"/>
      <c r="Q140" s="56"/>
      <c r="R140" s="57"/>
      <c r="S140" s="57"/>
      <c r="T140" s="57"/>
      <c r="U140" s="59"/>
      <c r="V140" s="42">
        <f t="shared" si="9"/>
        <v>0</v>
      </c>
      <c r="W140" s="60">
        <f t="shared" si="7"/>
        <v>0</v>
      </c>
      <c r="X140" s="44">
        <f t="shared" si="8"/>
        <v>0</v>
      </c>
    </row>
    <row r="141" spans="1:24" ht="15" x14ac:dyDescent="0.2">
      <c r="A141" s="62"/>
      <c r="B141" s="47"/>
      <c r="C141" s="47"/>
      <c r="D141" s="47"/>
      <c r="E141" s="47"/>
      <c r="F141" s="48"/>
      <c r="G141" s="47"/>
      <c r="H141" s="47"/>
      <c r="I141" s="47"/>
      <c r="J141" s="93"/>
      <c r="K141" s="52"/>
      <c r="L141" s="53"/>
      <c r="M141" s="71"/>
      <c r="N141" s="55"/>
      <c r="O141" s="56"/>
      <c r="P141" s="56"/>
      <c r="Q141" s="56"/>
      <c r="R141" s="57"/>
      <c r="S141" s="57"/>
      <c r="T141" s="57"/>
      <c r="U141" s="59"/>
      <c r="V141" s="42">
        <f t="shared" si="9"/>
        <v>0</v>
      </c>
      <c r="W141" s="60">
        <f t="shared" si="7"/>
        <v>0</v>
      </c>
      <c r="X141" s="44">
        <f t="shared" si="8"/>
        <v>0</v>
      </c>
    </row>
    <row r="142" spans="1:24" ht="15" x14ac:dyDescent="0.2">
      <c r="A142" s="62"/>
      <c r="B142" s="47"/>
      <c r="C142" s="47"/>
      <c r="D142" s="47"/>
      <c r="E142" s="47"/>
      <c r="F142" s="48"/>
      <c r="G142" s="47"/>
      <c r="H142" s="47"/>
      <c r="I142" s="47"/>
      <c r="J142" s="93"/>
      <c r="K142" s="52"/>
      <c r="L142" s="53"/>
      <c r="M142" s="71"/>
      <c r="N142" s="55"/>
      <c r="O142" s="56"/>
      <c r="P142" s="56"/>
      <c r="Q142" s="56"/>
      <c r="R142" s="57"/>
      <c r="S142" s="57"/>
      <c r="T142" s="57"/>
      <c r="U142" s="59"/>
      <c r="V142" s="42">
        <f t="shared" si="9"/>
        <v>0</v>
      </c>
      <c r="W142" s="60">
        <f t="shared" si="7"/>
        <v>0</v>
      </c>
      <c r="X142" s="44">
        <f t="shared" si="8"/>
        <v>0</v>
      </c>
    </row>
    <row r="143" spans="1:24" ht="15" x14ac:dyDescent="0.2">
      <c r="A143" s="62"/>
      <c r="B143" s="47"/>
      <c r="C143" s="47"/>
      <c r="D143" s="47"/>
      <c r="E143" s="47"/>
      <c r="F143" s="48"/>
      <c r="G143" s="47"/>
      <c r="H143" s="47"/>
      <c r="I143" s="47"/>
      <c r="J143" s="93"/>
      <c r="K143" s="52"/>
      <c r="L143" s="53"/>
      <c r="M143" s="71"/>
      <c r="N143" s="55"/>
      <c r="O143" s="56"/>
      <c r="P143" s="56"/>
      <c r="Q143" s="56"/>
      <c r="R143" s="57"/>
      <c r="S143" s="57"/>
      <c r="T143" s="57"/>
      <c r="U143" s="59"/>
      <c r="V143" s="42">
        <f t="shared" si="9"/>
        <v>0</v>
      </c>
      <c r="W143" s="60">
        <f t="shared" si="7"/>
        <v>0</v>
      </c>
      <c r="X143" s="44">
        <f t="shared" si="8"/>
        <v>0</v>
      </c>
    </row>
    <row r="144" spans="1:24" ht="15" x14ac:dyDescent="0.2">
      <c r="A144" s="62"/>
      <c r="B144" s="47"/>
      <c r="C144" s="47"/>
      <c r="D144" s="47"/>
      <c r="E144" s="47"/>
      <c r="F144" s="48"/>
      <c r="G144" s="47"/>
      <c r="H144" s="47"/>
      <c r="I144" s="47"/>
      <c r="J144" s="93"/>
      <c r="K144" s="52"/>
      <c r="L144" s="53"/>
      <c r="M144" s="71"/>
      <c r="N144" s="55"/>
      <c r="O144" s="56"/>
      <c r="P144" s="56"/>
      <c r="Q144" s="56"/>
      <c r="R144" s="57"/>
      <c r="S144" s="57"/>
      <c r="T144" s="57"/>
      <c r="U144" s="59"/>
      <c r="V144" s="42">
        <f t="shared" si="9"/>
        <v>0</v>
      </c>
      <c r="W144" s="60">
        <f t="shared" si="7"/>
        <v>0</v>
      </c>
      <c r="X144" s="44">
        <f t="shared" si="8"/>
        <v>0</v>
      </c>
    </row>
    <row r="145" spans="1:24" ht="15" x14ac:dyDescent="0.2">
      <c r="A145" s="62"/>
      <c r="B145" s="47"/>
      <c r="C145" s="47"/>
      <c r="D145" s="47"/>
      <c r="E145" s="47"/>
      <c r="F145" s="48"/>
      <c r="G145" s="47"/>
      <c r="H145" s="47"/>
      <c r="I145" s="47"/>
      <c r="J145" s="93"/>
      <c r="K145" s="52"/>
      <c r="L145" s="53"/>
      <c r="M145" s="71"/>
      <c r="N145" s="55"/>
      <c r="O145" s="56"/>
      <c r="P145" s="56"/>
      <c r="Q145" s="56"/>
      <c r="R145" s="57"/>
      <c r="S145" s="57"/>
      <c r="T145" s="57"/>
      <c r="U145" s="59"/>
      <c r="V145" s="42">
        <f t="shared" si="9"/>
        <v>0</v>
      </c>
      <c r="W145" s="60">
        <f t="shared" si="7"/>
        <v>0</v>
      </c>
      <c r="X145" s="44">
        <f t="shared" si="8"/>
        <v>0</v>
      </c>
    </row>
    <row r="146" spans="1:24" ht="15" x14ac:dyDescent="0.2">
      <c r="A146" s="62"/>
      <c r="B146" s="47"/>
      <c r="C146" s="47"/>
      <c r="D146" s="47"/>
      <c r="E146" s="47"/>
      <c r="F146" s="48"/>
      <c r="G146" s="47"/>
      <c r="H146" s="47"/>
      <c r="I146" s="47"/>
      <c r="J146" s="93"/>
      <c r="K146" s="52"/>
      <c r="L146" s="53"/>
      <c r="M146" s="71"/>
      <c r="N146" s="55"/>
      <c r="O146" s="56"/>
      <c r="P146" s="56"/>
      <c r="Q146" s="56"/>
      <c r="R146" s="57"/>
      <c r="S146" s="57"/>
      <c r="T146" s="57"/>
      <c r="U146" s="59"/>
      <c r="V146" s="42">
        <f t="shared" si="9"/>
        <v>0</v>
      </c>
      <c r="W146" s="60">
        <f t="shared" si="7"/>
        <v>0</v>
      </c>
      <c r="X146" s="44">
        <f t="shared" si="8"/>
        <v>0</v>
      </c>
    </row>
    <row r="147" spans="1:24" ht="15" x14ac:dyDescent="0.2">
      <c r="A147" s="62"/>
      <c r="B147" s="47"/>
      <c r="C147" s="47"/>
      <c r="D147" s="47"/>
      <c r="E147" s="47"/>
      <c r="F147" s="48"/>
      <c r="G147" s="47"/>
      <c r="H147" s="47"/>
      <c r="I147" s="47"/>
      <c r="J147" s="93"/>
      <c r="K147" s="52"/>
      <c r="L147" s="53"/>
      <c r="M147" s="71"/>
      <c r="N147" s="55"/>
      <c r="O147" s="56"/>
      <c r="P147" s="56"/>
      <c r="Q147" s="56"/>
      <c r="R147" s="57"/>
      <c r="S147" s="57"/>
      <c r="T147" s="57"/>
      <c r="U147" s="59"/>
      <c r="V147" s="42">
        <f t="shared" si="9"/>
        <v>0</v>
      </c>
      <c r="W147" s="60">
        <f t="shared" si="7"/>
        <v>0</v>
      </c>
      <c r="X147" s="44">
        <f t="shared" si="8"/>
        <v>0</v>
      </c>
    </row>
    <row r="148" spans="1:24" ht="15" x14ac:dyDescent="0.2">
      <c r="A148" s="62"/>
      <c r="B148" s="47"/>
      <c r="C148" s="47"/>
      <c r="D148" s="47"/>
      <c r="E148" s="47"/>
      <c r="F148" s="48"/>
      <c r="G148" s="47"/>
      <c r="H148" s="47"/>
      <c r="I148" s="47"/>
      <c r="J148" s="93"/>
      <c r="K148" s="52"/>
      <c r="L148" s="53"/>
      <c r="M148" s="71"/>
      <c r="N148" s="55"/>
      <c r="O148" s="56"/>
      <c r="P148" s="56"/>
      <c r="Q148" s="56"/>
      <c r="R148" s="57"/>
      <c r="S148" s="57"/>
      <c r="T148" s="57"/>
      <c r="U148" s="59"/>
      <c r="V148" s="42">
        <f t="shared" si="9"/>
        <v>0</v>
      </c>
      <c r="W148" s="60">
        <f t="shared" si="7"/>
        <v>0</v>
      </c>
      <c r="X148" s="44">
        <f t="shared" si="8"/>
        <v>0</v>
      </c>
    </row>
    <row r="149" spans="1:24" ht="15" x14ac:dyDescent="0.2">
      <c r="A149" s="62"/>
      <c r="B149" s="47"/>
      <c r="C149" s="47"/>
      <c r="D149" s="47"/>
      <c r="E149" s="47"/>
      <c r="F149" s="48"/>
      <c r="G149" s="47"/>
      <c r="H149" s="47"/>
      <c r="I149" s="47"/>
      <c r="J149" s="93"/>
      <c r="K149" s="52"/>
      <c r="L149" s="53"/>
      <c r="M149" s="71"/>
      <c r="N149" s="55"/>
      <c r="O149" s="56"/>
      <c r="P149" s="56"/>
      <c r="Q149" s="56"/>
      <c r="R149" s="57"/>
      <c r="S149" s="57"/>
      <c r="T149" s="57"/>
      <c r="U149" s="59"/>
      <c r="V149" s="42">
        <f t="shared" si="9"/>
        <v>0</v>
      </c>
      <c r="W149" s="60">
        <f t="shared" si="7"/>
        <v>0</v>
      </c>
      <c r="X149" s="44">
        <f t="shared" si="8"/>
        <v>0</v>
      </c>
    </row>
    <row r="150" spans="1:24" ht="15" x14ac:dyDescent="0.2">
      <c r="A150" s="62"/>
      <c r="B150" s="47"/>
      <c r="C150" s="47"/>
      <c r="D150" s="47"/>
      <c r="E150" s="47"/>
      <c r="F150" s="48"/>
      <c r="G150" s="47"/>
      <c r="H150" s="47"/>
      <c r="I150" s="47"/>
      <c r="J150" s="93"/>
      <c r="K150" s="52"/>
      <c r="L150" s="53"/>
      <c r="M150" s="71"/>
      <c r="N150" s="55"/>
      <c r="O150" s="56"/>
      <c r="P150" s="56"/>
      <c r="Q150" s="56"/>
      <c r="R150" s="57"/>
      <c r="S150" s="57"/>
      <c r="T150" s="57"/>
      <c r="U150" s="59"/>
      <c r="V150" s="42">
        <f t="shared" si="9"/>
        <v>0</v>
      </c>
      <c r="W150" s="60">
        <f t="shared" si="7"/>
        <v>0</v>
      </c>
      <c r="X150" s="44">
        <f t="shared" si="8"/>
        <v>0</v>
      </c>
    </row>
    <row r="151" spans="1:24" ht="15" x14ac:dyDescent="0.2">
      <c r="A151" s="62"/>
      <c r="B151" s="47"/>
      <c r="C151" s="47"/>
      <c r="D151" s="47"/>
      <c r="E151" s="47"/>
      <c r="F151" s="48"/>
      <c r="G151" s="47"/>
      <c r="H151" s="47"/>
      <c r="I151" s="47"/>
      <c r="J151" s="93"/>
      <c r="K151" s="52"/>
      <c r="L151" s="53"/>
      <c r="M151" s="71"/>
      <c r="N151" s="55"/>
      <c r="O151" s="56"/>
      <c r="P151" s="56"/>
      <c r="Q151" s="56"/>
      <c r="R151" s="57"/>
      <c r="S151" s="57"/>
      <c r="T151" s="57"/>
      <c r="U151" s="59"/>
      <c r="V151" s="42">
        <f t="shared" si="9"/>
        <v>0</v>
      </c>
      <c r="W151" s="60">
        <f t="shared" si="7"/>
        <v>0</v>
      </c>
      <c r="X151" s="44">
        <f t="shared" si="8"/>
        <v>0</v>
      </c>
    </row>
    <row r="152" spans="1:24" ht="15" x14ac:dyDescent="0.2">
      <c r="A152" s="62"/>
      <c r="B152" s="47"/>
      <c r="C152" s="47"/>
      <c r="D152" s="47"/>
      <c r="E152" s="47"/>
      <c r="F152" s="48"/>
      <c r="G152" s="47"/>
      <c r="H152" s="47"/>
      <c r="I152" s="47"/>
      <c r="J152" s="93"/>
      <c r="K152" s="52"/>
      <c r="L152" s="53"/>
      <c r="M152" s="71"/>
      <c r="N152" s="55"/>
      <c r="O152" s="56"/>
      <c r="P152" s="56"/>
      <c r="Q152" s="56"/>
      <c r="R152" s="57"/>
      <c r="S152" s="57"/>
      <c r="T152" s="57"/>
      <c r="U152" s="59"/>
      <c r="V152" s="42">
        <f t="shared" si="9"/>
        <v>0</v>
      </c>
      <c r="W152" s="60">
        <f t="shared" si="7"/>
        <v>0</v>
      </c>
      <c r="X152" s="44">
        <f t="shared" si="8"/>
        <v>0</v>
      </c>
    </row>
    <row r="153" spans="1:24" ht="15" x14ac:dyDescent="0.2">
      <c r="A153" s="62"/>
      <c r="B153" s="47"/>
      <c r="C153" s="47"/>
      <c r="D153" s="47"/>
      <c r="E153" s="47"/>
      <c r="F153" s="48"/>
      <c r="G153" s="47"/>
      <c r="H153" s="47"/>
      <c r="I153" s="47"/>
      <c r="J153" s="93"/>
      <c r="K153" s="52"/>
      <c r="L153" s="53"/>
      <c r="M153" s="71"/>
      <c r="N153" s="55"/>
      <c r="O153" s="56"/>
      <c r="P153" s="56"/>
      <c r="Q153" s="56"/>
      <c r="R153" s="57"/>
      <c r="S153" s="57"/>
      <c r="T153" s="57"/>
      <c r="U153" s="59"/>
      <c r="V153" s="42">
        <f t="shared" si="9"/>
        <v>0</v>
      </c>
      <c r="W153" s="60">
        <f t="shared" si="7"/>
        <v>0</v>
      </c>
      <c r="X153" s="44">
        <f t="shared" si="8"/>
        <v>0</v>
      </c>
    </row>
    <row r="154" spans="1:24" ht="15" x14ac:dyDescent="0.2">
      <c r="A154" s="62"/>
      <c r="B154" s="47"/>
      <c r="C154" s="47"/>
      <c r="D154" s="47"/>
      <c r="E154" s="47"/>
      <c r="F154" s="48"/>
      <c r="G154" s="47"/>
      <c r="H154" s="47"/>
      <c r="I154" s="97"/>
      <c r="J154" s="93"/>
      <c r="K154" s="52"/>
      <c r="L154" s="53"/>
      <c r="M154" s="71"/>
      <c r="N154" s="55"/>
      <c r="O154" s="56"/>
      <c r="P154" s="56"/>
      <c r="Q154" s="56"/>
      <c r="R154" s="57"/>
      <c r="S154" s="57"/>
      <c r="T154" s="57"/>
      <c r="U154" s="59"/>
      <c r="V154" s="42">
        <f t="shared" si="9"/>
        <v>0</v>
      </c>
      <c r="W154" s="60">
        <f t="shared" si="7"/>
        <v>0</v>
      </c>
      <c r="X154" s="44">
        <f t="shared" si="8"/>
        <v>0</v>
      </c>
    </row>
    <row r="155" spans="1:24" ht="15" x14ac:dyDescent="0.2">
      <c r="A155" s="62"/>
      <c r="B155" s="47"/>
      <c r="C155" s="47"/>
      <c r="D155" s="47"/>
      <c r="E155" s="47"/>
      <c r="F155" s="48"/>
      <c r="G155" s="47"/>
      <c r="H155" s="47"/>
      <c r="I155" s="47"/>
      <c r="J155" s="93"/>
      <c r="K155" s="52"/>
      <c r="L155" s="53"/>
      <c r="M155" s="71"/>
      <c r="N155" s="55"/>
      <c r="O155" s="56"/>
      <c r="P155" s="56"/>
      <c r="Q155" s="56"/>
      <c r="R155" s="57"/>
      <c r="S155" s="57"/>
      <c r="T155" s="57"/>
      <c r="U155" s="59"/>
      <c r="V155" s="42">
        <f t="shared" si="9"/>
        <v>0</v>
      </c>
      <c r="W155" s="60">
        <f t="shared" si="7"/>
        <v>0</v>
      </c>
      <c r="X155" s="44">
        <f t="shared" si="8"/>
        <v>0</v>
      </c>
    </row>
    <row r="156" spans="1:24" ht="15" x14ac:dyDescent="0.2">
      <c r="A156" s="62"/>
      <c r="B156" s="47"/>
      <c r="C156" s="47"/>
      <c r="D156" s="47"/>
      <c r="E156" s="47"/>
      <c r="F156" s="48"/>
      <c r="G156" s="47"/>
      <c r="H156" s="47"/>
      <c r="I156" s="47"/>
      <c r="J156" s="93"/>
      <c r="K156" s="52"/>
      <c r="L156" s="53"/>
      <c r="M156" s="71"/>
      <c r="N156" s="55"/>
      <c r="O156" s="56"/>
      <c r="P156" s="56"/>
      <c r="Q156" s="56"/>
      <c r="R156" s="57"/>
      <c r="S156" s="57"/>
      <c r="T156" s="57"/>
      <c r="U156" s="59"/>
      <c r="V156" s="42">
        <f t="shared" si="9"/>
        <v>0</v>
      </c>
      <c r="W156" s="60">
        <f t="shared" si="7"/>
        <v>0</v>
      </c>
      <c r="X156" s="44">
        <f t="shared" si="8"/>
        <v>0</v>
      </c>
    </row>
    <row r="157" spans="1:24" ht="15" x14ac:dyDescent="0.2">
      <c r="A157" s="62"/>
      <c r="B157" s="47"/>
      <c r="C157" s="47"/>
      <c r="D157" s="47"/>
      <c r="E157" s="47"/>
      <c r="F157" s="48"/>
      <c r="G157" s="47"/>
      <c r="H157" s="47"/>
      <c r="I157" s="47"/>
      <c r="J157" s="93"/>
      <c r="K157" s="52"/>
      <c r="L157" s="53"/>
      <c r="M157" s="71"/>
      <c r="N157" s="55"/>
      <c r="O157" s="56"/>
      <c r="P157" s="56"/>
      <c r="Q157" s="56"/>
      <c r="R157" s="57"/>
      <c r="S157" s="57"/>
      <c r="T157" s="57"/>
      <c r="U157" s="59"/>
      <c r="V157" s="42">
        <f t="shared" si="9"/>
        <v>0</v>
      </c>
      <c r="W157" s="60">
        <f t="shared" si="7"/>
        <v>0</v>
      </c>
      <c r="X157" s="44">
        <f t="shared" si="8"/>
        <v>0</v>
      </c>
    </row>
    <row r="158" spans="1:24" ht="15" x14ac:dyDescent="0.2">
      <c r="A158" s="62"/>
      <c r="B158" s="47"/>
      <c r="C158" s="47"/>
      <c r="D158" s="47"/>
      <c r="E158" s="47"/>
      <c r="F158" s="48"/>
      <c r="G158" s="47"/>
      <c r="H158" s="47"/>
      <c r="I158" s="47"/>
      <c r="J158" s="93"/>
      <c r="K158" s="52"/>
      <c r="L158" s="53"/>
      <c r="M158" s="71"/>
      <c r="N158" s="55"/>
      <c r="O158" s="56"/>
      <c r="P158" s="56"/>
      <c r="Q158" s="56"/>
      <c r="R158" s="57"/>
      <c r="S158" s="57"/>
      <c r="T158" s="57"/>
      <c r="U158" s="59"/>
      <c r="V158" s="42">
        <f t="shared" si="9"/>
        <v>0</v>
      </c>
      <c r="W158" s="60">
        <f t="shared" si="7"/>
        <v>0</v>
      </c>
      <c r="X158" s="44">
        <f t="shared" si="8"/>
        <v>0</v>
      </c>
    </row>
    <row r="159" spans="1:24" ht="15" x14ac:dyDescent="0.2">
      <c r="A159" s="62"/>
      <c r="B159" s="47"/>
      <c r="C159" s="47"/>
      <c r="D159" s="47"/>
      <c r="E159" s="47"/>
      <c r="F159" s="48"/>
      <c r="G159" s="47"/>
      <c r="H159" s="47"/>
      <c r="I159" s="47"/>
      <c r="J159" s="93"/>
      <c r="K159" s="52"/>
      <c r="L159" s="53"/>
      <c r="M159" s="71"/>
      <c r="N159" s="55"/>
      <c r="O159" s="56"/>
      <c r="P159" s="56"/>
      <c r="Q159" s="56"/>
      <c r="R159" s="57"/>
      <c r="S159" s="57"/>
      <c r="T159" s="57"/>
      <c r="U159" s="59"/>
      <c r="V159" s="42">
        <f t="shared" si="9"/>
        <v>0</v>
      </c>
      <c r="W159" s="60">
        <f t="shared" si="7"/>
        <v>0</v>
      </c>
      <c r="X159" s="44">
        <f t="shared" si="8"/>
        <v>0</v>
      </c>
    </row>
    <row r="160" spans="1:24" ht="15" x14ac:dyDescent="0.2">
      <c r="A160" s="62"/>
      <c r="B160" s="47"/>
      <c r="C160" s="47"/>
      <c r="D160" s="47"/>
      <c r="E160" s="47"/>
      <c r="F160" s="48"/>
      <c r="G160" s="47"/>
      <c r="H160" s="47"/>
      <c r="I160" s="47"/>
      <c r="J160" s="93"/>
      <c r="K160" s="52"/>
      <c r="L160" s="53"/>
      <c r="M160" s="71"/>
      <c r="N160" s="55"/>
      <c r="O160" s="56"/>
      <c r="P160" s="56"/>
      <c r="Q160" s="56"/>
      <c r="R160" s="57"/>
      <c r="S160" s="57"/>
      <c r="T160" s="57"/>
      <c r="U160" s="59"/>
      <c r="V160" s="42">
        <f t="shared" si="9"/>
        <v>0</v>
      </c>
      <c r="W160" s="60">
        <f t="shared" si="7"/>
        <v>0</v>
      </c>
      <c r="X160" s="44">
        <f t="shared" si="8"/>
        <v>0</v>
      </c>
    </row>
    <row r="161" spans="1:24" ht="15" x14ac:dyDescent="0.2">
      <c r="A161" s="62"/>
      <c r="B161" s="47"/>
      <c r="C161" s="47"/>
      <c r="D161" s="47"/>
      <c r="E161" s="47"/>
      <c r="F161" s="48"/>
      <c r="G161" s="47"/>
      <c r="H161" s="47"/>
      <c r="I161" s="47"/>
      <c r="J161" s="93"/>
      <c r="K161" s="52"/>
      <c r="L161" s="53"/>
      <c r="M161" s="71"/>
      <c r="N161" s="55"/>
      <c r="O161" s="56"/>
      <c r="P161" s="56"/>
      <c r="Q161" s="56"/>
      <c r="R161" s="57"/>
      <c r="S161" s="57"/>
      <c r="T161" s="57"/>
      <c r="U161" s="59"/>
      <c r="V161" s="42">
        <f t="shared" si="9"/>
        <v>0</v>
      </c>
      <c r="W161" s="60">
        <f t="shared" si="7"/>
        <v>0</v>
      </c>
      <c r="X161" s="44">
        <f t="shared" si="8"/>
        <v>0</v>
      </c>
    </row>
    <row r="162" spans="1:24" ht="15" x14ac:dyDescent="0.2">
      <c r="A162" s="62"/>
      <c r="B162" s="47"/>
      <c r="C162" s="47"/>
      <c r="D162" s="47"/>
      <c r="E162" s="47"/>
      <c r="F162" s="48"/>
      <c r="G162" s="47"/>
      <c r="H162" s="47"/>
      <c r="I162" s="47"/>
      <c r="J162" s="93"/>
      <c r="K162" s="52"/>
      <c r="L162" s="53"/>
      <c r="M162" s="71"/>
      <c r="N162" s="55"/>
      <c r="O162" s="56"/>
      <c r="P162" s="56"/>
      <c r="Q162" s="56"/>
      <c r="R162" s="57"/>
      <c r="S162" s="57"/>
      <c r="T162" s="57"/>
      <c r="U162" s="59"/>
      <c r="V162" s="42">
        <f t="shared" si="9"/>
        <v>0</v>
      </c>
      <c r="W162" s="60">
        <f t="shared" si="7"/>
        <v>0</v>
      </c>
      <c r="X162" s="44">
        <f t="shared" si="8"/>
        <v>0</v>
      </c>
    </row>
    <row r="163" spans="1:24" ht="15" x14ac:dyDescent="0.2">
      <c r="A163" s="62"/>
      <c r="B163" s="47"/>
      <c r="C163" s="47"/>
      <c r="D163" s="47"/>
      <c r="E163" s="47"/>
      <c r="F163" s="48"/>
      <c r="G163" s="47"/>
      <c r="H163" s="47"/>
      <c r="I163" s="47"/>
      <c r="J163" s="93"/>
      <c r="K163" s="52"/>
      <c r="L163" s="53"/>
      <c r="M163" s="71"/>
      <c r="N163" s="55"/>
      <c r="O163" s="56"/>
      <c r="P163" s="56"/>
      <c r="Q163" s="56"/>
      <c r="R163" s="57"/>
      <c r="S163" s="57"/>
      <c r="T163" s="57"/>
      <c r="U163" s="59"/>
      <c r="V163" s="42">
        <f t="shared" si="9"/>
        <v>0</v>
      </c>
      <c r="W163" s="60">
        <f t="shared" si="7"/>
        <v>0</v>
      </c>
      <c r="X163" s="44">
        <f t="shared" si="8"/>
        <v>0</v>
      </c>
    </row>
    <row r="164" spans="1:24" ht="15" x14ac:dyDescent="0.2">
      <c r="A164" s="62"/>
      <c r="B164" s="47"/>
      <c r="C164" s="47"/>
      <c r="D164" s="47"/>
      <c r="E164" s="47"/>
      <c r="F164" s="48"/>
      <c r="G164" s="47"/>
      <c r="H164" s="47"/>
      <c r="I164" s="47"/>
      <c r="J164" s="93"/>
      <c r="K164" s="52"/>
      <c r="L164" s="53"/>
      <c r="M164" s="71"/>
      <c r="N164" s="55"/>
      <c r="O164" s="56"/>
      <c r="P164" s="56"/>
      <c r="Q164" s="56"/>
      <c r="R164" s="57"/>
      <c r="S164" s="57"/>
      <c r="T164" s="57"/>
      <c r="U164" s="59"/>
      <c r="V164" s="42">
        <f t="shared" si="9"/>
        <v>0</v>
      </c>
      <c r="W164" s="60">
        <f t="shared" si="7"/>
        <v>0</v>
      </c>
      <c r="X164" s="44">
        <f t="shared" si="8"/>
        <v>0</v>
      </c>
    </row>
    <row r="165" spans="1:24" ht="15" x14ac:dyDescent="0.2">
      <c r="A165" s="62"/>
      <c r="B165" s="47"/>
      <c r="C165" s="47"/>
      <c r="D165" s="47"/>
      <c r="E165" s="47"/>
      <c r="F165" s="48"/>
      <c r="G165" s="47"/>
      <c r="H165" s="47"/>
      <c r="I165" s="47"/>
      <c r="J165" s="93"/>
      <c r="K165" s="52"/>
      <c r="L165" s="53"/>
      <c r="M165" s="71"/>
      <c r="N165" s="55"/>
      <c r="O165" s="56"/>
      <c r="P165" s="56"/>
      <c r="Q165" s="56"/>
      <c r="R165" s="57"/>
      <c r="S165" s="57"/>
      <c r="T165" s="57"/>
      <c r="U165" s="59"/>
      <c r="V165" s="42">
        <f t="shared" si="9"/>
        <v>0</v>
      </c>
      <c r="W165" s="60">
        <f t="shared" si="7"/>
        <v>0</v>
      </c>
      <c r="X165" s="44">
        <f t="shared" si="8"/>
        <v>0</v>
      </c>
    </row>
    <row r="166" spans="1:24" ht="15" x14ac:dyDescent="0.2">
      <c r="A166" s="62"/>
      <c r="B166" s="47"/>
      <c r="C166" s="47"/>
      <c r="D166" s="47"/>
      <c r="E166" s="47"/>
      <c r="F166" s="48"/>
      <c r="G166" s="47"/>
      <c r="H166" s="47"/>
      <c r="I166" s="47"/>
      <c r="J166" s="93"/>
      <c r="K166" s="52"/>
      <c r="L166" s="53"/>
      <c r="M166" s="71"/>
      <c r="N166" s="55"/>
      <c r="O166" s="56"/>
      <c r="P166" s="56"/>
      <c r="Q166" s="56"/>
      <c r="R166" s="57"/>
      <c r="S166" s="57"/>
      <c r="T166" s="57"/>
      <c r="U166" s="59"/>
      <c r="V166" s="42">
        <f t="shared" si="9"/>
        <v>0</v>
      </c>
      <c r="W166" s="60">
        <f t="shared" si="7"/>
        <v>0</v>
      </c>
      <c r="X166" s="44">
        <f t="shared" si="8"/>
        <v>0</v>
      </c>
    </row>
    <row r="167" spans="1:24" ht="15" x14ac:dyDescent="0.2">
      <c r="A167" s="62"/>
      <c r="B167" s="47"/>
      <c r="C167" s="47"/>
      <c r="D167" s="47"/>
      <c r="E167" s="47"/>
      <c r="F167" s="48"/>
      <c r="G167" s="47"/>
      <c r="H167" s="47"/>
      <c r="I167" s="47"/>
      <c r="J167" s="93"/>
      <c r="K167" s="52"/>
      <c r="L167" s="53"/>
      <c r="M167" s="71"/>
      <c r="N167" s="55"/>
      <c r="O167" s="56"/>
      <c r="P167" s="56"/>
      <c r="Q167" s="56"/>
      <c r="R167" s="57"/>
      <c r="S167" s="57"/>
      <c r="T167" s="57"/>
      <c r="U167" s="59"/>
      <c r="V167" s="42">
        <f t="shared" si="9"/>
        <v>0</v>
      </c>
      <c r="W167" s="60">
        <f t="shared" si="7"/>
        <v>0</v>
      </c>
      <c r="X167" s="44">
        <f t="shared" si="8"/>
        <v>0</v>
      </c>
    </row>
    <row r="168" spans="1:24" ht="15" x14ac:dyDescent="0.2">
      <c r="A168" s="62"/>
      <c r="B168" s="47"/>
      <c r="C168" s="47"/>
      <c r="D168" s="47"/>
      <c r="E168" s="47"/>
      <c r="F168" s="48"/>
      <c r="G168" s="47"/>
      <c r="H168" s="47"/>
      <c r="I168" s="47"/>
      <c r="J168" s="93"/>
      <c r="K168" s="52"/>
      <c r="L168" s="53"/>
      <c r="M168" s="71"/>
      <c r="N168" s="55"/>
      <c r="O168" s="56"/>
      <c r="P168" s="56"/>
      <c r="Q168" s="56"/>
      <c r="R168" s="57"/>
      <c r="S168" s="57"/>
      <c r="T168" s="57"/>
      <c r="U168" s="59"/>
      <c r="V168" s="42">
        <f t="shared" si="9"/>
        <v>0</v>
      </c>
      <c r="W168" s="60">
        <f t="shared" si="7"/>
        <v>0</v>
      </c>
      <c r="X168" s="44">
        <f t="shared" si="8"/>
        <v>0</v>
      </c>
    </row>
    <row r="169" spans="1:24" ht="15" x14ac:dyDescent="0.2">
      <c r="A169" s="62"/>
      <c r="B169" s="47"/>
      <c r="C169" s="47"/>
      <c r="D169" s="47"/>
      <c r="E169" s="47"/>
      <c r="F169" s="48"/>
      <c r="G169" s="47"/>
      <c r="H169" s="47"/>
      <c r="I169" s="47"/>
      <c r="J169" s="93"/>
      <c r="K169" s="52"/>
      <c r="L169" s="53"/>
      <c r="M169" s="71"/>
      <c r="N169" s="55"/>
      <c r="O169" s="56"/>
      <c r="P169" s="56"/>
      <c r="Q169" s="56"/>
      <c r="R169" s="57"/>
      <c r="S169" s="57"/>
      <c r="T169" s="57"/>
      <c r="U169" s="59"/>
      <c r="V169" s="42">
        <f t="shared" si="9"/>
        <v>0</v>
      </c>
      <c r="W169" s="60">
        <f t="shared" si="7"/>
        <v>0</v>
      </c>
      <c r="X169" s="44">
        <f t="shared" si="8"/>
        <v>0</v>
      </c>
    </row>
    <row r="170" spans="1:24" ht="15" x14ac:dyDescent="0.2">
      <c r="A170" s="62"/>
      <c r="B170" s="47"/>
      <c r="C170" s="47"/>
      <c r="D170" s="47"/>
      <c r="E170" s="47"/>
      <c r="F170" s="48"/>
      <c r="G170" s="47"/>
      <c r="H170" s="47"/>
      <c r="I170" s="47"/>
      <c r="J170" s="93"/>
      <c r="K170" s="52"/>
      <c r="L170" s="53"/>
      <c r="M170" s="71"/>
      <c r="N170" s="55"/>
      <c r="O170" s="56"/>
      <c r="P170" s="56"/>
      <c r="Q170" s="56"/>
      <c r="R170" s="57"/>
      <c r="S170" s="57"/>
      <c r="T170" s="57"/>
      <c r="U170" s="59"/>
      <c r="V170" s="42">
        <f t="shared" si="9"/>
        <v>0</v>
      </c>
      <c r="W170" s="60">
        <f t="shared" si="7"/>
        <v>0</v>
      </c>
      <c r="X170" s="44">
        <f t="shared" si="8"/>
        <v>0</v>
      </c>
    </row>
    <row r="171" spans="1:24" ht="15" x14ac:dyDescent="0.2">
      <c r="A171" s="62"/>
      <c r="B171" s="47"/>
      <c r="C171" s="47"/>
      <c r="D171" s="47"/>
      <c r="E171" s="47"/>
      <c r="F171" s="48"/>
      <c r="G171" s="47"/>
      <c r="H171" s="47"/>
      <c r="I171" s="47"/>
      <c r="J171" s="93"/>
      <c r="K171" s="52"/>
      <c r="L171" s="53"/>
      <c r="M171" s="71"/>
      <c r="N171" s="55"/>
      <c r="O171" s="56"/>
      <c r="P171" s="56"/>
      <c r="Q171" s="56"/>
      <c r="R171" s="57"/>
      <c r="S171" s="57"/>
      <c r="T171" s="57"/>
      <c r="U171" s="59"/>
      <c r="V171" s="42">
        <f t="shared" si="9"/>
        <v>0</v>
      </c>
      <c r="W171" s="60">
        <f t="shared" si="7"/>
        <v>0</v>
      </c>
      <c r="X171" s="44">
        <f t="shared" si="8"/>
        <v>0</v>
      </c>
    </row>
    <row r="172" spans="1:24" ht="15" x14ac:dyDescent="0.2">
      <c r="A172" s="62"/>
      <c r="B172" s="47"/>
      <c r="C172" s="47"/>
      <c r="D172" s="47"/>
      <c r="E172" s="47"/>
      <c r="F172" s="48"/>
      <c r="G172" s="47"/>
      <c r="H172" s="47"/>
      <c r="I172" s="47"/>
      <c r="J172" s="93"/>
      <c r="K172" s="52"/>
      <c r="L172" s="53"/>
      <c r="M172" s="71"/>
      <c r="N172" s="55"/>
      <c r="O172" s="56"/>
      <c r="P172" s="56"/>
      <c r="Q172" s="56"/>
      <c r="R172" s="57"/>
      <c r="S172" s="57"/>
      <c r="T172" s="57"/>
      <c r="U172" s="59"/>
      <c r="V172" s="42">
        <f t="shared" si="9"/>
        <v>0</v>
      </c>
      <c r="W172" s="60">
        <f t="shared" si="7"/>
        <v>0</v>
      </c>
      <c r="X172" s="44">
        <f t="shared" si="8"/>
        <v>0</v>
      </c>
    </row>
    <row r="173" spans="1:24" ht="15" x14ac:dyDescent="0.2">
      <c r="A173" s="62"/>
      <c r="B173" s="47"/>
      <c r="C173" s="47"/>
      <c r="D173" s="47"/>
      <c r="E173" s="47"/>
      <c r="F173" s="48"/>
      <c r="G173" s="47"/>
      <c r="H173" s="47"/>
      <c r="I173" s="47"/>
      <c r="J173" s="93"/>
      <c r="K173" s="52"/>
      <c r="L173" s="53"/>
      <c r="M173" s="71"/>
      <c r="N173" s="55"/>
      <c r="O173" s="56"/>
      <c r="P173" s="56"/>
      <c r="Q173" s="56"/>
      <c r="R173" s="57"/>
      <c r="S173" s="57"/>
      <c r="T173" s="57"/>
      <c r="U173" s="59"/>
      <c r="V173" s="42">
        <f t="shared" si="9"/>
        <v>0</v>
      </c>
      <c r="W173" s="60">
        <f t="shared" si="7"/>
        <v>0</v>
      </c>
      <c r="X173" s="44">
        <f t="shared" si="8"/>
        <v>0</v>
      </c>
    </row>
    <row r="174" spans="1:24" ht="15" x14ac:dyDescent="0.2">
      <c r="A174" s="62"/>
      <c r="B174" s="47"/>
      <c r="C174" s="47"/>
      <c r="D174" s="47"/>
      <c r="E174" s="47"/>
      <c r="F174" s="48"/>
      <c r="G174" s="47"/>
      <c r="H174" s="47"/>
      <c r="I174" s="47"/>
      <c r="J174" s="93"/>
      <c r="K174" s="52"/>
      <c r="L174" s="53"/>
      <c r="M174" s="71"/>
      <c r="N174" s="55"/>
      <c r="O174" s="56"/>
      <c r="P174" s="56"/>
      <c r="Q174" s="56"/>
      <c r="R174" s="57"/>
      <c r="S174" s="57"/>
      <c r="T174" s="57"/>
      <c r="U174" s="59"/>
      <c r="V174" s="42">
        <f t="shared" si="9"/>
        <v>0</v>
      </c>
      <c r="W174" s="60">
        <f t="shared" si="7"/>
        <v>0</v>
      </c>
      <c r="X174" s="44">
        <f t="shared" si="8"/>
        <v>0</v>
      </c>
    </row>
    <row r="175" spans="1:24" ht="15" x14ac:dyDescent="0.2">
      <c r="A175" s="62"/>
      <c r="B175" s="47"/>
      <c r="C175" s="47"/>
      <c r="D175" s="47"/>
      <c r="E175" s="47"/>
      <c r="F175" s="48"/>
      <c r="G175" s="47"/>
      <c r="H175" s="47"/>
      <c r="I175" s="47"/>
      <c r="J175" s="93"/>
      <c r="K175" s="52"/>
      <c r="L175" s="53"/>
      <c r="M175" s="71"/>
      <c r="N175" s="55"/>
      <c r="O175" s="56"/>
      <c r="P175" s="56"/>
      <c r="Q175" s="56"/>
      <c r="R175" s="57"/>
      <c r="S175" s="57"/>
      <c r="T175" s="57"/>
      <c r="U175" s="59"/>
      <c r="V175" s="42">
        <f t="shared" si="9"/>
        <v>0</v>
      </c>
      <c r="W175" s="60">
        <f t="shared" si="7"/>
        <v>0</v>
      </c>
      <c r="X175" s="44">
        <f t="shared" si="8"/>
        <v>0</v>
      </c>
    </row>
    <row r="176" spans="1:24" ht="15" x14ac:dyDescent="0.2">
      <c r="A176" s="62"/>
      <c r="B176" s="47"/>
      <c r="C176" s="47"/>
      <c r="D176" s="47"/>
      <c r="E176" s="47"/>
      <c r="F176" s="48"/>
      <c r="G176" s="47"/>
      <c r="H176" s="47"/>
      <c r="I176" s="47"/>
      <c r="J176" s="93"/>
      <c r="K176" s="52"/>
      <c r="L176" s="53"/>
      <c r="M176" s="71"/>
      <c r="N176" s="55"/>
      <c r="O176" s="56"/>
      <c r="P176" s="56"/>
      <c r="Q176" s="56"/>
      <c r="R176" s="57"/>
      <c r="S176" s="57"/>
      <c r="T176" s="57"/>
      <c r="U176" s="59"/>
      <c r="V176" s="42">
        <f t="shared" si="9"/>
        <v>0</v>
      </c>
      <c r="W176" s="60">
        <f t="shared" si="7"/>
        <v>0</v>
      </c>
      <c r="X176" s="44">
        <f t="shared" si="8"/>
        <v>0</v>
      </c>
    </row>
    <row r="177" spans="1:24" ht="15" x14ac:dyDescent="0.2">
      <c r="A177" s="62"/>
      <c r="B177" s="47"/>
      <c r="C177" s="47"/>
      <c r="D177" s="47"/>
      <c r="E177" s="47"/>
      <c r="F177" s="48"/>
      <c r="G177" s="47"/>
      <c r="H177" s="47"/>
      <c r="I177" s="47"/>
      <c r="J177" s="93"/>
      <c r="K177" s="52"/>
      <c r="L177" s="53"/>
      <c r="M177" s="71"/>
      <c r="N177" s="55"/>
      <c r="O177" s="56"/>
      <c r="P177" s="56"/>
      <c r="Q177" s="56"/>
      <c r="R177" s="57"/>
      <c r="S177" s="57"/>
      <c r="T177" s="57"/>
      <c r="U177" s="59"/>
      <c r="V177" s="42">
        <f t="shared" si="9"/>
        <v>0</v>
      </c>
      <c r="W177" s="60">
        <f t="shared" si="7"/>
        <v>0</v>
      </c>
      <c r="X177" s="44">
        <f t="shared" si="8"/>
        <v>0</v>
      </c>
    </row>
    <row r="178" spans="1:24" ht="15" x14ac:dyDescent="0.2">
      <c r="A178" s="62"/>
      <c r="B178" s="47"/>
      <c r="C178" s="47"/>
      <c r="D178" s="47"/>
      <c r="E178" s="47"/>
      <c r="F178" s="48"/>
      <c r="G178" s="47"/>
      <c r="H178" s="47"/>
      <c r="I178" s="47"/>
      <c r="J178" s="93"/>
      <c r="K178" s="52"/>
      <c r="L178" s="53"/>
      <c r="M178" s="71"/>
      <c r="N178" s="55"/>
      <c r="O178" s="56"/>
      <c r="P178" s="56"/>
      <c r="Q178" s="56"/>
      <c r="R178" s="57"/>
      <c r="S178" s="57"/>
      <c r="T178" s="57"/>
      <c r="U178" s="59"/>
      <c r="V178" s="42">
        <f t="shared" si="9"/>
        <v>0</v>
      </c>
      <c r="W178" s="60">
        <f t="shared" si="7"/>
        <v>0</v>
      </c>
      <c r="X178" s="44">
        <f t="shared" si="8"/>
        <v>0</v>
      </c>
    </row>
    <row r="179" spans="1:24" ht="15" x14ac:dyDescent="0.2">
      <c r="A179" s="62"/>
      <c r="B179" s="47"/>
      <c r="C179" s="47"/>
      <c r="D179" s="47"/>
      <c r="E179" s="47"/>
      <c r="F179" s="48"/>
      <c r="G179" s="47"/>
      <c r="H179" s="47"/>
      <c r="I179" s="47"/>
      <c r="J179" s="93"/>
      <c r="K179" s="52"/>
      <c r="L179" s="53"/>
      <c r="M179" s="71"/>
      <c r="N179" s="55"/>
      <c r="O179" s="56"/>
      <c r="P179" s="56"/>
      <c r="Q179" s="56"/>
      <c r="R179" s="57"/>
      <c r="S179" s="57"/>
      <c r="T179" s="57"/>
      <c r="U179" s="59"/>
      <c r="V179" s="42">
        <f t="shared" si="9"/>
        <v>0</v>
      </c>
      <c r="W179" s="60">
        <f t="shared" si="7"/>
        <v>0</v>
      </c>
      <c r="X179" s="44">
        <f t="shared" si="8"/>
        <v>0</v>
      </c>
    </row>
    <row r="180" spans="1:24" ht="15" x14ac:dyDescent="0.2">
      <c r="A180" s="62"/>
      <c r="B180" s="47"/>
      <c r="C180" s="47"/>
      <c r="D180" s="47"/>
      <c r="E180" s="47"/>
      <c r="F180" s="48"/>
      <c r="G180" s="47"/>
      <c r="H180" s="47"/>
      <c r="I180" s="47"/>
      <c r="J180" s="93"/>
      <c r="K180" s="52"/>
      <c r="L180" s="53"/>
      <c r="M180" s="71"/>
      <c r="N180" s="55"/>
      <c r="O180" s="56"/>
      <c r="P180" s="56"/>
      <c r="Q180" s="56"/>
      <c r="R180" s="57"/>
      <c r="S180" s="57"/>
      <c r="T180" s="57"/>
      <c r="U180" s="59"/>
      <c r="V180" s="42">
        <f t="shared" si="9"/>
        <v>0</v>
      </c>
      <c r="W180" s="60">
        <f t="shared" si="7"/>
        <v>0</v>
      </c>
      <c r="X180" s="44">
        <f t="shared" si="8"/>
        <v>0</v>
      </c>
    </row>
    <row r="181" spans="1:24" ht="15" x14ac:dyDescent="0.2">
      <c r="A181" s="62"/>
      <c r="B181" s="47"/>
      <c r="C181" s="47"/>
      <c r="D181" s="47"/>
      <c r="E181" s="47"/>
      <c r="F181" s="48"/>
      <c r="G181" s="47"/>
      <c r="H181" s="47"/>
      <c r="I181" s="47"/>
      <c r="J181" s="93"/>
      <c r="K181" s="52"/>
      <c r="L181" s="53"/>
      <c r="M181" s="71"/>
      <c r="N181" s="55"/>
      <c r="O181" s="56"/>
      <c r="P181" s="56"/>
      <c r="Q181" s="56"/>
      <c r="R181" s="57"/>
      <c r="S181" s="57"/>
      <c r="T181" s="57"/>
      <c r="U181" s="59"/>
      <c r="V181" s="42">
        <f t="shared" si="9"/>
        <v>0</v>
      </c>
      <c r="W181" s="60">
        <f t="shared" si="7"/>
        <v>0</v>
      </c>
      <c r="X181" s="44">
        <f t="shared" si="8"/>
        <v>0</v>
      </c>
    </row>
    <row r="182" spans="1:24" ht="15" x14ac:dyDescent="0.2">
      <c r="A182" s="62"/>
      <c r="B182" s="47"/>
      <c r="C182" s="47"/>
      <c r="D182" s="47"/>
      <c r="E182" s="47"/>
      <c r="F182" s="48"/>
      <c r="G182" s="47"/>
      <c r="H182" s="47"/>
      <c r="I182" s="47"/>
      <c r="J182" s="93"/>
      <c r="K182" s="52"/>
      <c r="L182" s="53"/>
      <c r="M182" s="71"/>
      <c r="N182" s="55"/>
      <c r="O182" s="56"/>
      <c r="P182" s="56"/>
      <c r="Q182" s="56"/>
      <c r="R182" s="57"/>
      <c r="S182" s="57"/>
      <c r="T182" s="57"/>
      <c r="U182" s="59"/>
      <c r="V182" s="42">
        <f t="shared" si="9"/>
        <v>0</v>
      </c>
      <c r="W182" s="60">
        <f t="shared" si="7"/>
        <v>0</v>
      </c>
      <c r="X182" s="44">
        <f t="shared" si="8"/>
        <v>0</v>
      </c>
    </row>
    <row r="183" spans="1:24" ht="15" x14ac:dyDescent="0.2">
      <c r="A183" s="62"/>
      <c r="B183" s="47"/>
      <c r="C183" s="47"/>
      <c r="D183" s="47"/>
      <c r="E183" s="47"/>
      <c r="F183" s="48"/>
      <c r="G183" s="47"/>
      <c r="H183" s="47"/>
      <c r="I183" s="47"/>
      <c r="J183" s="93"/>
      <c r="K183" s="52"/>
      <c r="L183" s="53"/>
      <c r="M183" s="71"/>
      <c r="N183" s="55"/>
      <c r="O183" s="56"/>
      <c r="P183" s="56"/>
      <c r="Q183" s="56"/>
      <c r="R183" s="57"/>
      <c r="S183" s="57"/>
      <c r="T183" s="57"/>
      <c r="U183" s="59"/>
      <c r="V183" s="42">
        <f t="shared" si="9"/>
        <v>0</v>
      </c>
      <c r="W183" s="60">
        <f t="shared" si="7"/>
        <v>0</v>
      </c>
      <c r="X183" s="44">
        <f t="shared" si="8"/>
        <v>0</v>
      </c>
    </row>
    <row r="184" spans="1:24" ht="15" x14ac:dyDescent="0.2">
      <c r="A184" s="62"/>
      <c r="B184" s="47"/>
      <c r="C184" s="47"/>
      <c r="D184" s="47"/>
      <c r="E184" s="47"/>
      <c r="F184" s="48"/>
      <c r="G184" s="47"/>
      <c r="H184" s="47"/>
      <c r="I184" s="47"/>
      <c r="J184" s="93"/>
      <c r="K184" s="52"/>
      <c r="L184" s="53"/>
      <c r="M184" s="54"/>
      <c r="N184" s="55"/>
      <c r="O184" s="56"/>
      <c r="P184" s="56"/>
      <c r="Q184" s="56"/>
      <c r="R184" s="57"/>
      <c r="S184" s="57"/>
      <c r="T184" s="57"/>
      <c r="U184" s="59"/>
      <c r="V184" s="42">
        <f t="shared" si="9"/>
        <v>0</v>
      </c>
      <c r="W184" s="60">
        <f t="shared" si="7"/>
        <v>0</v>
      </c>
      <c r="X184" s="44">
        <f t="shared" si="8"/>
        <v>0</v>
      </c>
    </row>
    <row r="185" spans="1:24" ht="15" x14ac:dyDescent="0.2">
      <c r="A185" s="62"/>
      <c r="B185" s="47"/>
      <c r="C185" s="47"/>
      <c r="D185" s="47"/>
      <c r="E185" s="47"/>
      <c r="F185" s="48"/>
      <c r="G185" s="47"/>
      <c r="H185" s="47"/>
      <c r="I185" s="94"/>
      <c r="J185" s="93"/>
      <c r="K185" s="52"/>
      <c r="L185" s="53"/>
      <c r="M185" s="54"/>
      <c r="N185" s="55"/>
      <c r="O185" s="56"/>
      <c r="P185" s="56"/>
      <c r="Q185" s="56"/>
      <c r="R185" s="57"/>
      <c r="S185" s="57"/>
      <c r="T185" s="57"/>
      <c r="U185" s="59"/>
      <c r="V185" s="42">
        <f t="shared" si="9"/>
        <v>0</v>
      </c>
      <c r="W185" s="60">
        <f t="shared" si="7"/>
        <v>0</v>
      </c>
      <c r="X185" s="44">
        <f t="shared" si="8"/>
        <v>0</v>
      </c>
    </row>
    <row r="186" spans="1:24" ht="15" x14ac:dyDescent="0.2">
      <c r="A186" s="62"/>
      <c r="B186" s="47"/>
      <c r="C186" s="47"/>
      <c r="D186" s="47"/>
      <c r="E186" s="47"/>
      <c r="F186" s="48"/>
      <c r="G186" s="47"/>
      <c r="H186" s="47"/>
      <c r="I186" s="98"/>
      <c r="J186" s="51"/>
      <c r="K186" s="52"/>
      <c r="L186" s="53"/>
      <c r="M186" s="54"/>
      <c r="N186" s="55"/>
      <c r="O186" s="56"/>
      <c r="P186" s="56"/>
      <c r="Q186" s="56"/>
      <c r="R186" s="57"/>
      <c r="S186" s="57"/>
      <c r="T186" s="57"/>
      <c r="U186" s="59"/>
      <c r="V186" s="42">
        <f t="shared" si="9"/>
        <v>0</v>
      </c>
      <c r="W186" s="60">
        <f t="shared" si="7"/>
        <v>0</v>
      </c>
      <c r="X186" s="44">
        <f t="shared" si="8"/>
        <v>0</v>
      </c>
    </row>
    <row r="187" spans="1:24" ht="15" x14ac:dyDescent="0.2">
      <c r="A187" s="62"/>
      <c r="B187" s="47"/>
      <c r="C187" s="47"/>
      <c r="D187" s="47"/>
      <c r="E187" s="47"/>
      <c r="F187" s="48"/>
      <c r="G187" s="47"/>
      <c r="H187" s="47"/>
      <c r="I187" s="98"/>
      <c r="J187" s="51"/>
      <c r="K187" s="52"/>
      <c r="L187" s="53"/>
      <c r="M187" s="54"/>
      <c r="N187" s="55"/>
      <c r="O187" s="56"/>
      <c r="P187" s="56"/>
      <c r="Q187" s="56"/>
      <c r="R187" s="57"/>
      <c r="S187" s="57"/>
      <c r="T187" s="57"/>
      <c r="U187" s="59"/>
      <c r="V187" s="42">
        <f t="shared" si="9"/>
        <v>0</v>
      </c>
      <c r="W187" s="60">
        <f t="shared" si="7"/>
        <v>0</v>
      </c>
      <c r="X187" s="44">
        <f t="shared" si="8"/>
        <v>0</v>
      </c>
    </row>
    <row r="188" spans="1:24" ht="15" x14ac:dyDescent="0.2">
      <c r="A188" s="62"/>
      <c r="B188" s="47"/>
      <c r="C188" s="47"/>
      <c r="D188" s="47"/>
      <c r="E188" s="47"/>
      <c r="F188" s="48"/>
      <c r="G188" s="47"/>
      <c r="H188" s="47"/>
      <c r="I188" s="99"/>
      <c r="J188" s="51"/>
      <c r="K188" s="52"/>
      <c r="L188" s="53"/>
      <c r="M188" s="54"/>
      <c r="N188" s="55"/>
      <c r="O188" s="56"/>
      <c r="P188" s="56"/>
      <c r="Q188" s="56"/>
      <c r="R188" s="57"/>
      <c r="S188" s="57"/>
      <c r="T188" s="57"/>
      <c r="U188" s="59"/>
      <c r="V188" s="42">
        <f t="shared" si="9"/>
        <v>0</v>
      </c>
      <c r="W188" s="60">
        <f t="shared" si="7"/>
        <v>0</v>
      </c>
      <c r="X188" s="44">
        <f t="shared" si="8"/>
        <v>0</v>
      </c>
    </row>
    <row r="189" spans="1:24" ht="15" x14ac:dyDescent="0.2">
      <c r="A189" s="62"/>
      <c r="B189" s="47"/>
      <c r="C189" s="47"/>
      <c r="D189" s="47"/>
      <c r="E189" s="47"/>
      <c r="F189" s="48"/>
      <c r="G189" s="47"/>
      <c r="H189" s="47"/>
      <c r="I189" s="98"/>
      <c r="J189" s="51"/>
      <c r="K189" s="52"/>
      <c r="L189" s="53"/>
      <c r="M189" s="54"/>
      <c r="N189" s="55"/>
      <c r="O189" s="56"/>
      <c r="P189" s="56"/>
      <c r="Q189" s="56"/>
      <c r="R189" s="57"/>
      <c r="S189" s="57"/>
      <c r="T189" s="57"/>
      <c r="U189" s="59"/>
      <c r="V189" s="42">
        <f t="shared" si="9"/>
        <v>0</v>
      </c>
      <c r="W189" s="60">
        <f t="shared" si="7"/>
        <v>0</v>
      </c>
      <c r="X189" s="44">
        <f t="shared" si="8"/>
        <v>0</v>
      </c>
    </row>
    <row r="190" spans="1:24" ht="15" x14ac:dyDescent="0.2">
      <c r="A190" s="62"/>
      <c r="B190" s="47"/>
      <c r="C190" s="47"/>
      <c r="D190" s="47"/>
      <c r="E190" s="47"/>
      <c r="F190" s="48"/>
      <c r="G190" s="47"/>
      <c r="H190" s="47"/>
      <c r="I190" s="98"/>
      <c r="J190" s="51"/>
      <c r="K190" s="52"/>
      <c r="L190" s="53"/>
      <c r="M190" s="54"/>
      <c r="N190" s="55"/>
      <c r="O190" s="56"/>
      <c r="P190" s="56"/>
      <c r="Q190" s="56"/>
      <c r="R190" s="57"/>
      <c r="S190" s="57"/>
      <c r="T190" s="57"/>
      <c r="U190" s="59"/>
      <c r="V190" s="42">
        <f t="shared" si="9"/>
        <v>0</v>
      </c>
      <c r="W190" s="60">
        <f t="shared" si="7"/>
        <v>0</v>
      </c>
      <c r="X190" s="44">
        <f t="shared" si="8"/>
        <v>0</v>
      </c>
    </row>
    <row r="191" spans="1:24" ht="15" x14ac:dyDescent="0.2">
      <c r="A191" s="62"/>
      <c r="B191" s="47"/>
      <c r="C191" s="47"/>
      <c r="D191" s="47"/>
      <c r="E191" s="47"/>
      <c r="F191" s="48"/>
      <c r="G191" s="47"/>
      <c r="H191" s="47"/>
      <c r="I191" s="98"/>
      <c r="J191" s="51"/>
      <c r="K191" s="52"/>
      <c r="L191" s="53"/>
      <c r="M191" s="54"/>
      <c r="N191" s="55"/>
      <c r="O191" s="56"/>
      <c r="P191" s="56"/>
      <c r="Q191" s="56"/>
      <c r="R191" s="57"/>
      <c r="S191" s="57"/>
      <c r="T191" s="57"/>
      <c r="U191" s="59"/>
      <c r="V191" s="42">
        <f t="shared" si="9"/>
        <v>0</v>
      </c>
      <c r="W191" s="60">
        <f t="shared" si="7"/>
        <v>0</v>
      </c>
      <c r="X191" s="44">
        <f t="shared" si="8"/>
        <v>0</v>
      </c>
    </row>
    <row r="192" spans="1:24" ht="15" x14ac:dyDescent="0.2">
      <c r="A192" s="62"/>
      <c r="B192" s="47"/>
      <c r="C192" s="47"/>
      <c r="D192" s="47"/>
      <c r="E192" s="47"/>
      <c r="F192" s="48"/>
      <c r="G192" s="47"/>
      <c r="H192" s="47"/>
      <c r="I192" s="99"/>
      <c r="J192" s="51"/>
      <c r="K192" s="52"/>
      <c r="L192" s="53"/>
      <c r="M192" s="54"/>
      <c r="N192" s="55"/>
      <c r="O192" s="56"/>
      <c r="P192" s="56"/>
      <c r="Q192" s="56"/>
      <c r="R192" s="57"/>
      <c r="S192" s="57"/>
      <c r="T192" s="57"/>
      <c r="U192" s="59"/>
      <c r="V192" s="42">
        <f t="shared" si="9"/>
        <v>0</v>
      </c>
      <c r="W192" s="60">
        <f t="shared" si="7"/>
        <v>0</v>
      </c>
      <c r="X192" s="44">
        <f t="shared" si="8"/>
        <v>0</v>
      </c>
    </row>
    <row r="193" spans="1:24" ht="15" x14ac:dyDescent="0.2">
      <c r="A193" s="62"/>
      <c r="B193" s="47"/>
      <c r="C193" s="47"/>
      <c r="D193" s="47"/>
      <c r="E193" s="47"/>
      <c r="F193" s="48"/>
      <c r="G193" s="47"/>
      <c r="H193" s="47"/>
      <c r="I193" s="98"/>
      <c r="J193" s="51"/>
      <c r="K193" s="52"/>
      <c r="L193" s="53"/>
      <c r="M193" s="54"/>
      <c r="N193" s="55"/>
      <c r="O193" s="56"/>
      <c r="P193" s="56"/>
      <c r="Q193" s="56"/>
      <c r="R193" s="57"/>
      <c r="S193" s="57"/>
      <c r="T193" s="57"/>
      <c r="U193" s="59"/>
      <c r="V193" s="42">
        <f t="shared" si="9"/>
        <v>0</v>
      </c>
      <c r="W193" s="60">
        <f t="shared" si="7"/>
        <v>0</v>
      </c>
      <c r="X193" s="44">
        <f t="shared" si="8"/>
        <v>0</v>
      </c>
    </row>
    <row r="194" spans="1:24" ht="15" x14ac:dyDescent="0.2">
      <c r="A194" s="62"/>
      <c r="B194" s="47"/>
      <c r="C194" s="47"/>
      <c r="D194" s="47"/>
      <c r="E194" s="47"/>
      <c r="F194" s="48"/>
      <c r="G194" s="47"/>
      <c r="H194" s="47"/>
      <c r="I194" s="98"/>
      <c r="J194" s="51"/>
      <c r="K194" s="52"/>
      <c r="L194" s="53"/>
      <c r="M194" s="54"/>
      <c r="N194" s="55"/>
      <c r="O194" s="56"/>
      <c r="P194" s="56"/>
      <c r="Q194" s="56"/>
      <c r="R194" s="57"/>
      <c r="S194" s="57"/>
      <c r="T194" s="57"/>
      <c r="U194" s="59"/>
      <c r="V194" s="42">
        <f t="shared" si="9"/>
        <v>0</v>
      </c>
      <c r="W194" s="60">
        <f t="shared" si="7"/>
        <v>0</v>
      </c>
      <c r="X194" s="44">
        <f t="shared" si="8"/>
        <v>0</v>
      </c>
    </row>
    <row r="195" spans="1:24" ht="15" x14ac:dyDescent="0.2">
      <c r="A195" s="62"/>
      <c r="B195" s="47"/>
      <c r="C195" s="47"/>
      <c r="D195" s="47"/>
      <c r="E195" s="47"/>
      <c r="F195" s="48"/>
      <c r="G195" s="47"/>
      <c r="H195" s="47"/>
      <c r="I195" s="98"/>
      <c r="J195" s="51"/>
      <c r="K195" s="52"/>
      <c r="L195" s="53"/>
      <c r="M195" s="54"/>
      <c r="N195" s="55"/>
      <c r="O195" s="56"/>
      <c r="P195" s="56"/>
      <c r="Q195" s="56"/>
      <c r="R195" s="57"/>
      <c r="S195" s="57"/>
      <c r="T195" s="57"/>
      <c r="U195" s="59"/>
      <c r="V195" s="42">
        <f t="shared" si="9"/>
        <v>0</v>
      </c>
      <c r="W195" s="60">
        <f t="shared" si="7"/>
        <v>0</v>
      </c>
      <c r="X195" s="44">
        <f t="shared" si="8"/>
        <v>0</v>
      </c>
    </row>
    <row r="196" spans="1:24" ht="15" x14ac:dyDescent="0.2">
      <c r="A196" s="62"/>
      <c r="B196" s="47"/>
      <c r="C196" s="47"/>
      <c r="D196" s="47"/>
      <c r="E196" s="47"/>
      <c r="F196" s="48"/>
      <c r="G196" s="47"/>
      <c r="H196" s="47"/>
      <c r="I196" s="99"/>
      <c r="J196" s="51"/>
      <c r="K196" s="52"/>
      <c r="L196" s="53"/>
      <c r="M196" s="54"/>
      <c r="N196" s="55"/>
      <c r="O196" s="56"/>
      <c r="P196" s="56"/>
      <c r="Q196" s="56"/>
      <c r="R196" s="57"/>
      <c r="S196" s="57"/>
      <c r="T196" s="57"/>
      <c r="U196" s="59"/>
      <c r="V196" s="42">
        <f t="shared" si="9"/>
        <v>0</v>
      </c>
      <c r="W196" s="60">
        <f t="shared" ref="W196:W259" si="10">V196*M196</f>
        <v>0</v>
      </c>
      <c r="X196" s="44">
        <f t="shared" ref="X196:X259" si="11">P196*$AA$30+Q196*$AA$31+N196*$AA$28+O196*$AA$29+R196*M196*$AA$32+S196*M196*$AA$33+T196*M196*$AA$34+V196*M196*$AA$35+U196*M196*$AA$36</f>
        <v>0</v>
      </c>
    </row>
    <row r="197" spans="1:24" ht="15" x14ac:dyDescent="0.2">
      <c r="A197" s="62"/>
      <c r="B197" s="47"/>
      <c r="C197" s="47"/>
      <c r="D197" s="47"/>
      <c r="E197" s="47"/>
      <c r="F197" s="48"/>
      <c r="G197" s="47"/>
      <c r="H197" s="47"/>
      <c r="I197" s="98"/>
      <c r="J197" s="51"/>
      <c r="K197" s="52"/>
      <c r="L197" s="53"/>
      <c r="M197" s="54"/>
      <c r="N197" s="55"/>
      <c r="O197" s="56"/>
      <c r="P197" s="56"/>
      <c r="Q197" s="56"/>
      <c r="R197" s="57"/>
      <c r="S197" s="57"/>
      <c r="T197" s="57"/>
      <c r="U197" s="59"/>
      <c r="V197" s="42">
        <f t="shared" si="9"/>
        <v>0</v>
      </c>
      <c r="W197" s="60">
        <f t="shared" si="10"/>
        <v>0</v>
      </c>
      <c r="X197" s="44">
        <f t="shared" si="11"/>
        <v>0</v>
      </c>
    </row>
    <row r="198" spans="1:24" ht="15" x14ac:dyDescent="0.2">
      <c r="A198" s="62"/>
      <c r="B198" s="47"/>
      <c r="C198" s="47"/>
      <c r="D198" s="47"/>
      <c r="E198" s="47"/>
      <c r="F198" s="48"/>
      <c r="G198" s="47"/>
      <c r="H198" s="47"/>
      <c r="I198" s="98"/>
      <c r="J198" s="51"/>
      <c r="K198" s="52"/>
      <c r="L198" s="53"/>
      <c r="M198" s="54"/>
      <c r="N198" s="55"/>
      <c r="O198" s="56"/>
      <c r="P198" s="56"/>
      <c r="Q198" s="56"/>
      <c r="R198" s="57"/>
      <c r="S198" s="57"/>
      <c r="T198" s="57"/>
      <c r="U198" s="59"/>
      <c r="V198" s="42">
        <f t="shared" si="9"/>
        <v>0</v>
      </c>
      <c r="W198" s="60">
        <f t="shared" si="10"/>
        <v>0</v>
      </c>
      <c r="X198" s="44">
        <f t="shared" si="11"/>
        <v>0</v>
      </c>
    </row>
    <row r="199" spans="1:24" ht="15" x14ac:dyDescent="0.2">
      <c r="A199" s="62"/>
      <c r="B199" s="47"/>
      <c r="C199" s="47"/>
      <c r="D199" s="47"/>
      <c r="E199" s="47"/>
      <c r="F199" s="48"/>
      <c r="G199" s="47"/>
      <c r="H199" s="47"/>
      <c r="I199" s="98"/>
      <c r="J199" s="51"/>
      <c r="K199" s="52"/>
      <c r="L199" s="53"/>
      <c r="M199" s="54"/>
      <c r="N199" s="55"/>
      <c r="O199" s="56"/>
      <c r="P199" s="56"/>
      <c r="Q199" s="56"/>
      <c r="R199" s="57"/>
      <c r="S199" s="57"/>
      <c r="T199" s="57"/>
      <c r="U199" s="59"/>
      <c r="V199" s="42">
        <f t="shared" si="9"/>
        <v>0</v>
      </c>
      <c r="W199" s="60">
        <f t="shared" si="10"/>
        <v>0</v>
      </c>
      <c r="X199" s="44">
        <f t="shared" si="11"/>
        <v>0</v>
      </c>
    </row>
    <row r="200" spans="1:24" ht="15" x14ac:dyDescent="0.2">
      <c r="A200" s="62"/>
      <c r="B200" s="47"/>
      <c r="C200" s="47"/>
      <c r="D200" s="47"/>
      <c r="E200" s="47"/>
      <c r="F200" s="48"/>
      <c r="G200" s="47"/>
      <c r="H200" s="47"/>
      <c r="I200" s="99"/>
      <c r="J200" s="51"/>
      <c r="K200" s="52"/>
      <c r="L200" s="53"/>
      <c r="M200" s="54"/>
      <c r="N200" s="55"/>
      <c r="O200" s="56"/>
      <c r="P200" s="56"/>
      <c r="Q200" s="56"/>
      <c r="R200" s="57"/>
      <c r="S200" s="57"/>
      <c r="T200" s="57"/>
      <c r="U200" s="59"/>
      <c r="V200" s="42">
        <f t="shared" ref="V200:V263" si="12">IF(ISBLANK(L200),0,IF(L200=0,0,IF(L200&gt;0,1)))</f>
        <v>0</v>
      </c>
      <c r="W200" s="60">
        <f t="shared" si="10"/>
        <v>0</v>
      </c>
      <c r="X200" s="44">
        <f t="shared" si="11"/>
        <v>0</v>
      </c>
    </row>
    <row r="201" spans="1:24" ht="15" x14ac:dyDescent="0.2">
      <c r="A201" s="62"/>
      <c r="B201" s="47"/>
      <c r="C201" s="47"/>
      <c r="D201" s="47"/>
      <c r="E201" s="47"/>
      <c r="F201" s="48"/>
      <c r="G201" s="47"/>
      <c r="H201" s="47"/>
      <c r="I201" s="98"/>
      <c r="J201" s="51"/>
      <c r="K201" s="52"/>
      <c r="L201" s="53"/>
      <c r="M201" s="54"/>
      <c r="N201" s="55"/>
      <c r="O201" s="56"/>
      <c r="P201" s="56"/>
      <c r="Q201" s="56"/>
      <c r="R201" s="57"/>
      <c r="S201" s="57"/>
      <c r="T201" s="57"/>
      <c r="U201" s="59"/>
      <c r="V201" s="42">
        <f t="shared" si="12"/>
        <v>0</v>
      </c>
      <c r="W201" s="60">
        <f t="shared" si="10"/>
        <v>0</v>
      </c>
      <c r="X201" s="44">
        <f t="shared" si="11"/>
        <v>0</v>
      </c>
    </row>
    <row r="202" spans="1:24" ht="15" x14ac:dyDescent="0.2">
      <c r="A202" s="62"/>
      <c r="B202" s="47"/>
      <c r="C202" s="47"/>
      <c r="D202" s="47"/>
      <c r="E202" s="47"/>
      <c r="F202" s="48"/>
      <c r="G202" s="47"/>
      <c r="H202" s="47"/>
      <c r="I202" s="98"/>
      <c r="J202" s="51"/>
      <c r="K202" s="52"/>
      <c r="L202" s="53"/>
      <c r="M202" s="54"/>
      <c r="N202" s="55"/>
      <c r="O202" s="56"/>
      <c r="P202" s="56"/>
      <c r="Q202" s="56"/>
      <c r="R202" s="57"/>
      <c r="S202" s="57"/>
      <c r="T202" s="57"/>
      <c r="U202" s="59"/>
      <c r="V202" s="42">
        <f t="shared" si="12"/>
        <v>0</v>
      </c>
      <c r="W202" s="60">
        <f t="shared" si="10"/>
        <v>0</v>
      </c>
      <c r="X202" s="44">
        <f t="shared" si="11"/>
        <v>0</v>
      </c>
    </row>
    <row r="203" spans="1:24" ht="15" x14ac:dyDescent="0.2">
      <c r="A203" s="62"/>
      <c r="B203" s="47"/>
      <c r="C203" s="47"/>
      <c r="D203" s="47"/>
      <c r="E203" s="47"/>
      <c r="F203" s="48"/>
      <c r="G203" s="47"/>
      <c r="H203" s="47"/>
      <c r="I203" s="98"/>
      <c r="J203" s="51"/>
      <c r="K203" s="52"/>
      <c r="L203" s="53"/>
      <c r="M203" s="54"/>
      <c r="N203" s="55"/>
      <c r="O203" s="56"/>
      <c r="P203" s="56"/>
      <c r="Q203" s="56"/>
      <c r="R203" s="57"/>
      <c r="S203" s="57"/>
      <c r="T203" s="57"/>
      <c r="U203" s="59"/>
      <c r="V203" s="42">
        <f t="shared" si="12"/>
        <v>0</v>
      </c>
      <c r="W203" s="60">
        <f t="shared" si="10"/>
        <v>0</v>
      </c>
      <c r="X203" s="44">
        <f t="shared" si="11"/>
        <v>0</v>
      </c>
    </row>
    <row r="204" spans="1:24" ht="15" x14ac:dyDescent="0.2">
      <c r="A204" s="62"/>
      <c r="B204" s="47"/>
      <c r="C204" s="47"/>
      <c r="D204" s="47"/>
      <c r="E204" s="47"/>
      <c r="F204" s="48"/>
      <c r="G204" s="47"/>
      <c r="H204" s="47"/>
      <c r="I204" s="99"/>
      <c r="J204" s="51"/>
      <c r="K204" s="52"/>
      <c r="L204" s="53"/>
      <c r="M204" s="54"/>
      <c r="N204" s="55"/>
      <c r="O204" s="56"/>
      <c r="P204" s="56"/>
      <c r="Q204" s="56"/>
      <c r="R204" s="57"/>
      <c r="S204" s="57"/>
      <c r="T204" s="57"/>
      <c r="U204" s="59"/>
      <c r="V204" s="42">
        <f t="shared" si="12"/>
        <v>0</v>
      </c>
      <c r="W204" s="60">
        <f t="shared" si="10"/>
        <v>0</v>
      </c>
      <c r="X204" s="44">
        <f t="shared" si="11"/>
        <v>0</v>
      </c>
    </row>
    <row r="205" spans="1:24" ht="15" x14ac:dyDescent="0.2">
      <c r="A205" s="62"/>
      <c r="B205" s="47"/>
      <c r="C205" s="47"/>
      <c r="D205" s="47"/>
      <c r="E205" s="47"/>
      <c r="F205" s="48"/>
      <c r="G205" s="47"/>
      <c r="H205" s="47"/>
      <c r="I205" s="98"/>
      <c r="J205" s="51"/>
      <c r="K205" s="52"/>
      <c r="L205" s="53"/>
      <c r="M205" s="54"/>
      <c r="N205" s="55"/>
      <c r="O205" s="56"/>
      <c r="P205" s="56"/>
      <c r="Q205" s="56"/>
      <c r="R205" s="57"/>
      <c r="S205" s="57"/>
      <c r="T205" s="57"/>
      <c r="U205" s="59"/>
      <c r="V205" s="42">
        <f t="shared" si="12"/>
        <v>0</v>
      </c>
      <c r="W205" s="60">
        <f t="shared" si="10"/>
        <v>0</v>
      </c>
      <c r="X205" s="44">
        <f t="shared" si="11"/>
        <v>0</v>
      </c>
    </row>
    <row r="206" spans="1:24" ht="15" x14ac:dyDescent="0.2">
      <c r="A206" s="62"/>
      <c r="B206" s="47"/>
      <c r="C206" s="47"/>
      <c r="D206" s="47"/>
      <c r="E206" s="47"/>
      <c r="F206" s="48"/>
      <c r="G206" s="47"/>
      <c r="H206" s="47"/>
      <c r="I206" s="98"/>
      <c r="J206" s="51"/>
      <c r="K206" s="52"/>
      <c r="L206" s="53"/>
      <c r="M206" s="54"/>
      <c r="N206" s="55"/>
      <c r="O206" s="56"/>
      <c r="P206" s="56"/>
      <c r="Q206" s="56"/>
      <c r="R206" s="57"/>
      <c r="S206" s="57"/>
      <c r="T206" s="57"/>
      <c r="U206" s="59"/>
      <c r="V206" s="42">
        <f t="shared" si="12"/>
        <v>0</v>
      </c>
      <c r="W206" s="60">
        <f t="shared" si="10"/>
        <v>0</v>
      </c>
      <c r="X206" s="44">
        <f t="shared" si="11"/>
        <v>0</v>
      </c>
    </row>
    <row r="207" spans="1:24" ht="15" x14ac:dyDescent="0.2">
      <c r="A207" s="62"/>
      <c r="B207" s="47"/>
      <c r="C207" s="47"/>
      <c r="D207" s="47"/>
      <c r="E207" s="47"/>
      <c r="F207" s="48"/>
      <c r="G207" s="47"/>
      <c r="H207" s="47"/>
      <c r="I207" s="98"/>
      <c r="J207" s="51"/>
      <c r="K207" s="52"/>
      <c r="L207" s="53"/>
      <c r="M207" s="54"/>
      <c r="N207" s="55"/>
      <c r="O207" s="56"/>
      <c r="P207" s="56"/>
      <c r="Q207" s="56"/>
      <c r="R207" s="57"/>
      <c r="S207" s="57"/>
      <c r="T207" s="57"/>
      <c r="U207" s="59"/>
      <c r="V207" s="42">
        <f t="shared" si="12"/>
        <v>0</v>
      </c>
      <c r="W207" s="60">
        <f t="shared" si="10"/>
        <v>0</v>
      </c>
      <c r="X207" s="44">
        <f t="shared" si="11"/>
        <v>0</v>
      </c>
    </row>
    <row r="208" spans="1:24" ht="15" x14ac:dyDescent="0.2">
      <c r="A208" s="62"/>
      <c r="B208" s="47"/>
      <c r="C208" s="47"/>
      <c r="D208" s="47"/>
      <c r="E208" s="47"/>
      <c r="F208" s="48"/>
      <c r="G208" s="47"/>
      <c r="H208" s="47"/>
      <c r="I208" s="99"/>
      <c r="J208" s="51"/>
      <c r="K208" s="52"/>
      <c r="L208" s="53"/>
      <c r="M208" s="54"/>
      <c r="N208" s="55"/>
      <c r="O208" s="56"/>
      <c r="P208" s="56"/>
      <c r="Q208" s="56"/>
      <c r="R208" s="57"/>
      <c r="S208" s="57"/>
      <c r="T208" s="57"/>
      <c r="U208" s="59"/>
      <c r="V208" s="42">
        <f t="shared" si="12"/>
        <v>0</v>
      </c>
      <c r="W208" s="60">
        <f t="shared" si="10"/>
        <v>0</v>
      </c>
      <c r="X208" s="44">
        <f t="shared" si="11"/>
        <v>0</v>
      </c>
    </row>
    <row r="209" spans="1:24" ht="15" x14ac:dyDescent="0.2">
      <c r="A209" s="62"/>
      <c r="B209" s="47"/>
      <c r="C209" s="47"/>
      <c r="D209" s="47"/>
      <c r="E209" s="47"/>
      <c r="F209" s="48"/>
      <c r="G209" s="47"/>
      <c r="H209" s="47"/>
      <c r="I209" s="98"/>
      <c r="J209" s="51"/>
      <c r="K209" s="52"/>
      <c r="L209" s="53"/>
      <c r="M209" s="54"/>
      <c r="N209" s="55"/>
      <c r="O209" s="56"/>
      <c r="P209" s="56"/>
      <c r="Q209" s="56"/>
      <c r="R209" s="57"/>
      <c r="S209" s="57"/>
      <c r="T209" s="57"/>
      <c r="U209" s="59"/>
      <c r="V209" s="42">
        <f t="shared" si="12"/>
        <v>0</v>
      </c>
      <c r="W209" s="60">
        <f t="shared" si="10"/>
        <v>0</v>
      </c>
      <c r="X209" s="44">
        <f t="shared" si="11"/>
        <v>0</v>
      </c>
    </row>
    <row r="210" spans="1:24" ht="15" x14ac:dyDescent="0.2">
      <c r="A210" s="62"/>
      <c r="B210" s="47"/>
      <c r="C210" s="47"/>
      <c r="D210" s="47"/>
      <c r="E210" s="47"/>
      <c r="F210" s="48"/>
      <c r="G210" s="47"/>
      <c r="H210" s="47"/>
      <c r="I210" s="98"/>
      <c r="J210" s="51"/>
      <c r="K210" s="52"/>
      <c r="L210" s="53"/>
      <c r="M210" s="54"/>
      <c r="N210" s="55"/>
      <c r="O210" s="56"/>
      <c r="P210" s="56"/>
      <c r="Q210" s="56"/>
      <c r="R210" s="57"/>
      <c r="S210" s="57"/>
      <c r="T210" s="57"/>
      <c r="U210" s="59"/>
      <c r="V210" s="42">
        <f t="shared" si="12"/>
        <v>0</v>
      </c>
      <c r="W210" s="60">
        <f t="shared" si="10"/>
        <v>0</v>
      </c>
      <c r="X210" s="44">
        <f t="shared" si="11"/>
        <v>0</v>
      </c>
    </row>
    <row r="211" spans="1:24" ht="15" x14ac:dyDescent="0.2">
      <c r="A211" s="62"/>
      <c r="B211" s="47"/>
      <c r="C211" s="47"/>
      <c r="D211" s="47"/>
      <c r="E211" s="47"/>
      <c r="F211" s="48"/>
      <c r="G211" s="47"/>
      <c r="H211" s="47"/>
      <c r="I211" s="98"/>
      <c r="J211" s="51"/>
      <c r="K211" s="52"/>
      <c r="L211" s="53"/>
      <c r="M211" s="54"/>
      <c r="N211" s="55"/>
      <c r="O211" s="56"/>
      <c r="P211" s="56"/>
      <c r="Q211" s="56"/>
      <c r="R211" s="57"/>
      <c r="S211" s="57"/>
      <c r="T211" s="57"/>
      <c r="U211" s="59"/>
      <c r="V211" s="42">
        <f t="shared" si="12"/>
        <v>0</v>
      </c>
      <c r="W211" s="60">
        <f t="shared" si="10"/>
        <v>0</v>
      </c>
      <c r="X211" s="44">
        <f t="shared" si="11"/>
        <v>0</v>
      </c>
    </row>
    <row r="212" spans="1:24" ht="15" x14ac:dyDescent="0.2">
      <c r="A212" s="62"/>
      <c r="B212" s="47"/>
      <c r="C212" s="47"/>
      <c r="D212" s="47"/>
      <c r="E212" s="47"/>
      <c r="F212" s="48"/>
      <c r="G212" s="47"/>
      <c r="H212" s="47"/>
      <c r="I212" s="99"/>
      <c r="J212" s="51"/>
      <c r="K212" s="52"/>
      <c r="L212" s="53"/>
      <c r="M212" s="54"/>
      <c r="N212" s="55"/>
      <c r="O212" s="56"/>
      <c r="P212" s="56"/>
      <c r="Q212" s="56"/>
      <c r="R212" s="57"/>
      <c r="S212" s="57"/>
      <c r="T212" s="57"/>
      <c r="U212" s="59"/>
      <c r="V212" s="42">
        <f t="shared" si="12"/>
        <v>0</v>
      </c>
      <c r="W212" s="60">
        <f t="shared" si="10"/>
        <v>0</v>
      </c>
      <c r="X212" s="44">
        <f t="shared" si="11"/>
        <v>0</v>
      </c>
    </row>
    <row r="213" spans="1:24" ht="15" x14ac:dyDescent="0.2">
      <c r="A213" s="62"/>
      <c r="B213" s="47"/>
      <c r="C213" s="47"/>
      <c r="D213" s="47"/>
      <c r="E213" s="47"/>
      <c r="F213" s="48"/>
      <c r="G213" s="47"/>
      <c r="H213" s="47"/>
      <c r="I213" s="98"/>
      <c r="J213" s="51"/>
      <c r="K213" s="52"/>
      <c r="L213" s="53"/>
      <c r="M213" s="54"/>
      <c r="N213" s="55"/>
      <c r="O213" s="56"/>
      <c r="P213" s="56"/>
      <c r="Q213" s="56"/>
      <c r="R213" s="57"/>
      <c r="S213" s="57"/>
      <c r="T213" s="57"/>
      <c r="U213" s="59"/>
      <c r="V213" s="42">
        <f t="shared" si="12"/>
        <v>0</v>
      </c>
      <c r="W213" s="60">
        <f t="shared" si="10"/>
        <v>0</v>
      </c>
      <c r="X213" s="44">
        <f t="shared" si="11"/>
        <v>0</v>
      </c>
    </row>
    <row r="214" spans="1:24" ht="15" x14ac:dyDescent="0.2">
      <c r="A214" s="62"/>
      <c r="B214" s="47"/>
      <c r="C214" s="47"/>
      <c r="D214" s="47"/>
      <c r="E214" s="47"/>
      <c r="F214" s="48"/>
      <c r="G214" s="47"/>
      <c r="H214" s="47"/>
      <c r="I214" s="98"/>
      <c r="J214" s="51"/>
      <c r="K214" s="52"/>
      <c r="L214" s="53"/>
      <c r="M214" s="54"/>
      <c r="N214" s="55"/>
      <c r="O214" s="56"/>
      <c r="P214" s="56"/>
      <c r="Q214" s="56"/>
      <c r="R214" s="57"/>
      <c r="S214" s="57"/>
      <c r="T214" s="57"/>
      <c r="U214" s="59"/>
      <c r="V214" s="42">
        <f t="shared" si="12"/>
        <v>0</v>
      </c>
      <c r="W214" s="60">
        <f t="shared" si="10"/>
        <v>0</v>
      </c>
      <c r="X214" s="44">
        <f t="shared" si="11"/>
        <v>0</v>
      </c>
    </row>
    <row r="215" spans="1:24" ht="15" x14ac:dyDescent="0.2">
      <c r="A215" s="62"/>
      <c r="B215" s="47"/>
      <c r="C215" s="47"/>
      <c r="D215" s="47"/>
      <c r="E215" s="47"/>
      <c r="F215" s="48"/>
      <c r="G215" s="47"/>
      <c r="H215" s="47"/>
      <c r="I215" s="98"/>
      <c r="J215" s="51"/>
      <c r="K215" s="52"/>
      <c r="L215" s="53"/>
      <c r="M215" s="54"/>
      <c r="N215" s="55"/>
      <c r="O215" s="56"/>
      <c r="P215" s="56"/>
      <c r="Q215" s="56"/>
      <c r="R215" s="57"/>
      <c r="S215" s="57"/>
      <c r="T215" s="57"/>
      <c r="U215" s="59"/>
      <c r="V215" s="42">
        <f t="shared" si="12"/>
        <v>0</v>
      </c>
      <c r="W215" s="60">
        <f t="shared" si="10"/>
        <v>0</v>
      </c>
      <c r="X215" s="44">
        <f t="shared" si="11"/>
        <v>0</v>
      </c>
    </row>
    <row r="216" spans="1:24" ht="15" x14ac:dyDescent="0.2">
      <c r="A216" s="62"/>
      <c r="B216" s="47"/>
      <c r="C216" s="47"/>
      <c r="D216" s="47"/>
      <c r="E216" s="47"/>
      <c r="F216" s="48"/>
      <c r="G216" s="47"/>
      <c r="H216" s="47"/>
      <c r="I216" s="99"/>
      <c r="J216" s="51"/>
      <c r="K216" s="52"/>
      <c r="L216" s="53"/>
      <c r="M216" s="54"/>
      <c r="N216" s="55"/>
      <c r="O216" s="56"/>
      <c r="P216" s="56"/>
      <c r="Q216" s="56"/>
      <c r="R216" s="57"/>
      <c r="S216" s="57"/>
      <c r="T216" s="57"/>
      <c r="U216" s="59"/>
      <c r="V216" s="42">
        <f t="shared" si="12"/>
        <v>0</v>
      </c>
      <c r="W216" s="60">
        <f t="shared" si="10"/>
        <v>0</v>
      </c>
      <c r="X216" s="44">
        <f t="shared" si="11"/>
        <v>0</v>
      </c>
    </row>
    <row r="217" spans="1:24" ht="15" x14ac:dyDescent="0.2">
      <c r="A217" s="62"/>
      <c r="B217" s="47"/>
      <c r="C217" s="47"/>
      <c r="D217" s="47"/>
      <c r="E217" s="47"/>
      <c r="F217" s="48"/>
      <c r="G217" s="47"/>
      <c r="H217" s="47"/>
      <c r="I217" s="98"/>
      <c r="J217" s="51"/>
      <c r="K217" s="52"/>
      <c r="L217" s="53"/>
      <c r="M217" s="54"/>
      <c r="N217" s="55"/>
      <c r="O217" s="56"/>
      <c r="P217" s="56"/>
      <c r="Q217" s="56"/>
      <c r="R217" s="57"/>
      <c r="S217" s="57"/>
      <c r="T217" s="57"/>
      <c r="U217" s="59"/>
      <c r="V217" s="42">
        <f t="shared" si="12"/>
        <v>0</v>
      </c>
      <c r="W217" s="60">
        <f t="shared" si="10"/>
        <v>0</v>
      </c>
      <c r="X217" s="44">
        <f t="shared" si="11"/>
        <v>0</v>
      </c>
    </row>
    <row r="218" spans="1:24" ht="15" x14ac:dyDescent="0.2">
      <c r="A218" s="62"/>
      <c r="B218" s="47"/>
      <c r="C218" s="47"/>
      <c r="D218" s="47"/>
      <c r="E218" s="47"/>
      <c r="F218" s="48"/>
      <c r="G218" s="47"/>
      <c r="H218" s="47"/>
      <c r="I218" s="98"/>
      <c r="J218" s="51"/>
      <c r="K218" s="52"/>
      <c r="L218" s="53"/>
      <c r="M218" s="54"/>
      <c r="N218" s="55"/>
      <c r="O218" s="56"/>
      <c r="P218" s="56"/>
      <c r="Q218" s="56"/>
      <c r="R218" s="57"/>
      <c r="S218" s="57"/>
      <c r="T218" s="57"/>
      <c r="U218" s="59"/>
      <c r="V218" s="42">
        <f t="shared" si="12"/>
        <v>0</v>
      </c>
      <c r="W218" s="60">
        <f t="shared" si="10"/>
        <v>0</v>
      </c>
      <c r="X218" s="44">
        <f t="shared" si="11"/>
        <v>0</v>
      </c>
    </row>
    <row r="219" spans="1:24" ht="15" x14ac:dyDescent="0.2">
      <c r="A219" s="62"/>
      <c r="B219" s="47"/>
      <c r="C219" s="47"/>
      <c r="D219" s="47"/>
      <c r="E219" s="47"/>
      <c r="F219" s="48"/>
      <c r="G219" s="47"/>
      <c r="H219" s="47"/>
      <c r="I219" s="98"/>
      <c r="J219" s="51"/>
      <c r="K219" s="52"/>
      <c r="L219" s="53"/>
      <c r="M219" s="54"/>
      <c r="N219" s="55"/>
      <c r="O219" s="56"/>
      <c r="P219" s="56"/>
      <c r="Q219" s="56"/>
      <c r="R219" s="57"/>
      <c r="S219" s="57"/>
      <c r="T219" s="57"/>
      <c r="U219" s="59"/>
      <c r="V219" s="42">
        <f t="shared" si="12"/>
        <v>0</v>
      </c>
      <c r="W219" s="60">
        <f t="shared" si="10"/>
        <v>0</v>
      </c>
      <c r="X219" s="44">
        <f t="shared" si="11"/>
        <v>0</v>
      </c>
    </row>
    <row r="220" spans="1:24" ht="15" x14ac:dyDescent="0.2">
      <c r="A220" s="62"/>
      <c r="B220" s="47"/>
      <c r="C220" s="47"/>
      <c r="D220" s="47"/>
      <c r="E220" s="47"/>
      <c r="F220" s="48"/>
      <c r="G220" s="47"/>
      <c r="H220" s="47"/>
      <c r="I220" s="99"/>
      <c r="J220" s="51"/>
      <c r="K220" s="52"/>
      <c r="L220" s="53"/>
      <c r="M220" s="54"/>
      <c r="N220" s="55"/>
      <c r="O220" s="56"/>
      <c r="P220" s="56"/>
      <c r="Q220" s="56"/>
      <c r="R220" s="57"/>
      <c r="S220" s="57"/>
      <c r="T220" s="57"/>
      <c r="U220" s="59"/>
      <c r="V220" s="42">
        <f t="shared" si="12"/>
        <v>0</v>
      </c>
      <c r="W220" s="60">
        <f t="shared" si="10"/>
        <v>0</v>
      </c>
      <c r="X220" s="44">
        <f t="shared" si="11"/>
        <v>0</v>
      </c>
    </row>
    <row r="221" spans="1:24" ht="15" x14ac:dyDescent="0.2">
      <c r="A221" s="62"/>
      <c r="B221" s="47"/>
      <c r="C221" s="47"/>
      <c r="D221" s="47"/>
      <c r="E221" s="47"/>
      <c r="F221" s="48"/>
      <c r="G221" s="47"/>
      <c r="H221" s="47"/>
      <c r="I221" s="98"/>
      <c r="J221" s="51"/>
      <c r="K221" s="52"/>
      <c r="L221" s="53"/>
      <c r="M221" s="54"/>
      <c r="N221" s="55"/>
      <c r="O221" s="56"/>
      <c r="P221" s="56"/>
      <c r="Q221" s="56"/>
      <c r="R221" s="57"/>
      <c r="S221" s="57"/>
      <c r="T221" s="57"/>
      <c r="U221" s="59"/>
      <c r="V221" s="42">
        <f t="shared" si="12"/>
        <v>0</v>
      </c>
      <c r="W221" s="60">
        <f t="shared" si="10"/>
        <v>0</v>
      </c>
      <c r="X221" s="44">
        <f t="shared" si="11"/>
        <v>0</v>
      </c>
    </row>
    <row r="222" spans="1:24" ht="15" x14ac:dyDescent="0.2">
      <c r="A222" s="62"/>
      <c r="B222" s="47"/>
      <c r="C222" s="47"/>
      <c r="D222" s="47"/>
      <c r="E222" s="47"/>
      <c r="F222" s="48"/>
      <c r="G222" s="47"/>
      <c r="H222" s="47"/>
      <c r="I222" s="98"/>
      <c r="J222" s="51"/>
      <c r="K222" s="52"/>
      <c r="L222" s="53"/>
      <c r="M222" s="54"/>
      <c r="N222" s="55"/>
      <c r="O222" s="56"/>
      <c r="P222" s="56"/>
      <c r="Q222" s="56"/>
      <c r="R222" s="57"/>
      <c r="S222" s="57"/>
      <c r="T222" s="57"/>
      <c r="U222" s="59"/>
      <c r="V222" s="42">
        <f t="shared" si="12"/>
        <v>0</v>
      </c>
      <c r="W222" s="60">
        <f t="shared" si="10"/>
        <v>0</v>
      </c>
      <c r="X222" s="44">
        <f t="shared" si="11"/>
        <v>0</v>
      </c>
    </row>
    <row r="223" spans="1:24" ht="15" x14ac:dyDescent="0.2">
      <c r="A223" s="62"/>
      <c r="B223" s="47"/>
      <c r="C223" s="47"/>
      <c r="D223" s="47"/>
      <c r="E223" s="47"/>
      <c r="F223" s="48"/>
      <c r="G223" s="47"/>
      <c r="H223" s="47"/>
      <c r="I223" s="98"/>
      <c r="J223" s="51"/>
      <c r="K223" s="52"/>
      <c r="L223" s="53"/>
      <c r="M223" s="54"/>
      <c r="N223" s="55"/>
      <c r="O223" s="56"/>
      <c r="P223" s="56"/>
      <c r="Q223" s="56"/>
      <c r="R223" s="57"/>
      <c r="S223" s="57"/>
      <c r="T223" s="57"/>
      <c r="U223" s="59"/>
      <c r="V223" s="42">
        <f t="shared" si="12"/>
        <v>0</v>
      </c>
      <c r="W223" s="60">
        <f t="shared" si="10"/>
        <v>0</v>
      </c>
      <c r="X223" s="44">
        <f t="shared" si="11"/>
        <v>0</v>
      </c>
    </row>
    <row r="224" spans="1:24" ht="15" x14ac:dyDescent="0.2">
      <c r="A224" s="62"/>
      <c r="B224" s="47"/>
      <c r="C224" s="47"/>
      <c r="D224" s="47"/>
      <c r="E224" s="47"/>
      <c r="F224" s="48"/>
      <c r="G224" s="47"/>
      <c r="H224" s="47"/>
      <c r="I224" s="99"/>
      <c r="J224" s="51"/>
      <c r="K224" s="52"/>
      <c r="L224" s="53"/>
      <c r="M224" s="54"/>
      <c r="N224" s="55"/>
      <c r="O224" s="56"/>
      <c r="P224" s="56"/>
      <c r="Q224" s="56"/>
      <c r="R224" s="57"/>
      <c r="S224" s="57"/>
      <c r="T224" s="57"/>
      <c r="U224" s="59"/>
      <c r="V224" s="42">
        <f t="shared" si="12"/>
        <v>0</v>
      </c>
      <c r="W224" s="60">
        <f t="shared" si="10"/>
        <v>0</v>
      </c>
      <c r="X224" s="44">
        <f t="shared" si="11"/>
        <v>0</v>
      </c>
    </row>
    <row r="225" spans="1:24" ht="15" x14ac:dyDescent="0.2">
      <c r="A225" s="62"/>
      <c r="B225" s="47"/>
      <c r="C225" s="47"/>
      <c r="D225" s="47"/>
      <c r="E225" s="47"/>
      <c r="F225" s="48"/>
      <c r="G225" s="47"/>
      <c r="H225" s="47"/>
      <c r="I225" s="98"/>
      <c r="J225" s="51"/>
      <c r="K225" s="52"/>
      <c r="L225" s="53"/>
      <c r="M225" s="54"/>
      <c r="N225" s="55"/>
      <c r="O225" s="56"/>
      <c r="P225" s="56"/>
      <c r="Q225" s="56"/>
      <c r="R225" s="57"/>
      <c r="S225" s="57"/>
      <c r="T225" s="57"/>
      <c r="U225" s="59"/>
      <c r="V225" s="42">
        <f t="shared" si="12"/>
        <v>0</v>
      </c>
      <c r="W225" s="60">
        <f t="shared" si="10"/>
        <v>0</v>
      </c>
      <c r="X225" s="44">
        <f t="shared" si="11"/>
        <v>0</v>
      </c>
    </row>
    <row r="226" spans="1:24" ht="15" x14ac:dyDescent="0.2">
      <c r="A226" s="62"/>
      <c r="B226" s="47"/>
      <c r="C226" s="47"/>
      <c r="D226" s="47"/>
      <c r="E226" s="47"/>
      <c r="F226" s="48"/>
      <c r="G226" s="47"/>
      <c r="H226" s="47"/>
      <c r="I226" s="98"/>
      <c r="J226" s="51"/>
      <c r="K226" s="52"/>
      <c r="L226" s="53"/>
      <c r="M226" s="54"/>
      <c r="N226" s="55"/>
      <c r="O226" s="56"/>
      <c r="P226" s="56"/>
      <c r="Q226" s="56"/>
      <c r="R226" s="57"/>
      <c r="S226" s="57"/>
      <c r="T226" s="57"/>
      <c r="U226" s="59"/>
      <c r="V226" s="42">
        <f t="shared" si="12"/>
        <v>0</v>
      </c>
      <c r="W226" s="60">
        <f t="shared" si="10"/>
        <v>0</v>
      </c>
      <c r="X226" s="44">
        <f t="shared" si="11"/>
        <v>0</v>
      </c>
    </row>
    <row r="227" spans="1:24" ht="15" x14ac:dyDescent="0.2">
      <c r="A227" s="62"/>
      <c r="B227" s="47"/>
      <c r="C227" s="47"/>
      <c r="D227" s="47"/>
      <c r="E227" s="47"/>
      <c r="F227" s="48"/>
      <c r="G227" s="47"/>
      <c r="H227" s="47"/>
      <c r="I227" s="98"/>
      <c r="J227" s="51"/>
      <c r="K227" s="52"/>
      <c r="L227" s="53"/>
      <c r="M227" s="54"/>
      <c r="N227" s="55"/>
      <c r="O227" s="56"/>
      <c r="P227" s="56"/>
      <c r="Q227" s="56"/>
      <c r="R227" s="57"/>
      <c r="S227" s="57"/>
      <c r="T227" s="57"/>
      <c r="U227" s="59"/>
      <c r="V227" s="42">
        <f t="shared" si="12"/>
        <v>0</v>
      </c>
      <c r="W227" s="60">
        <f t="shared" si="10"/>
        <v>0</v>
      </c>
      <c r="X227" s="44">
        <f t="shared" si="11"/>
        <v>0</v>
      </c>
    </row>
    <row r="228" spans="1:24" ht="15" x14ac:dyDescent="0.2">
      <c r="A228" s="62"/>
      <c r="B228" s="47"/>
      <c r="C228" s="47"/>
      <c r="D228" s="47"/>
      <c r="E228" s="47"/>
      <c r="F228" s="48"/>
      <c r="G228" s="47"/>
      <c r="H228" s="47"/>
      <c r="I228" s="99"/>
      <c r="J228" s="51"/>
      <c r="K228" s="52"/>
      <c r="L228" s="53"/>
      <c r="M228" s="54"/>
      <c r="N228" s="55"/>
      <c r="O228" s="56"/>
      <c r="P228" s="56"/>
      <c r="Q228" s="56"/>
      <c r="R228" s="57"/>
      <c r="S228" s="57"/>
      <c r="T228" s="57"/>
      <c r="U228" s="59"/>
      <c r="V228" s="42">
        <f t="shared" si="12"/>
        <v>0</v>
      </c>
      <c r="W228" s="60">
        <f t="shared" si="10"/>
        <v>0</v>
      </c>
      <c r="X228" s="44">
        <f t="shared" si="11"/>
        <v>0</v>
      </c>
    </row>
    <row r="229" spans="1:24" ht="15" x14ac:dyDescent="0.2">
      <c r="A229" s="62"/>
      <c r="B229" s="47"/>
      <c r="C229" s="47"/>
      <c r="D229" s="47"/>
      <c r="E229" s="47"/>
      <c r="F229" s="48"/>
      <c r="G229" s="47"/>
      <c r="H229" s="47"/>
      <c r="I229" s="98"/>
      <c r="J229" s="51"/>
      <c r="K229" s="52"/>
      <c r="L229" s="53"/>
      <c r="M229" s="54"/>
      <c r="N229" s="55"/>
      <c r="O229" s="56"/>
      <c r="P229" s="56"/>
      <c r="Q229" s="56"/>
      <c r="R229" s="57"/>
      <c r="S229" s="57"/>
      <c r="T229" s="57"/>
      <c r="U229" s="59"/>
      <c r="V229" s="42">
        <f t="shared" si="12"/>
        <v>0</v>
      </c>
      <c r="W229" s="60">
        <f t="shared" si="10"/>
        <v>0</v>
      </c>
      <c r="X229" s="44">
        <f t="shared" si="11"/>
        <v>0</v>
      </c>
    </row>
    <row r="230" spans="1:24" ht="15" x14ac:dyDescent="0.2">
      <c r="A230" s="62"/>
      <c r="B230" s="47"/>
      <c r="C230" s="47"/>
      <c r="D230" s="47"/>
      <c r="E230" s="47"/>
      <c r="F230" s="48"/>
      <c r="G230" s="47"/>
      <c r="H230" s="47"/>
      <c r="I230" s="98"/>
      <c r="J230" s="51"/>
      <c r="K230" s="52"/>
      <c r="L230" s="53"/>
      <c r="M230" s="54"/>
      <c r="N230" s="55"/>
      <c r="O230" s="56"/>
      <c r="P230" s="56"/>
      <c r="Q230" s="56"/>
      <c r="R230" s="57"/>
      <c r="S230" s="57"/>
      <c r="T230" s="57"/>
      <c r="U230" s="59"/>
      <c r="V230" s="42">
        <f t="shared" si="12"/>
        <v>0</v>
      </c>
      <c r="W230" s="60">
        <f t="shared" si="10"/>
        <v>0</v>
      </c>
      <c r="X230" s="44">
        <f t="shared" si="11"/>
        <v>0</v>
      </c>
    </row>
    <row r="231" spans="1:24" ht="15" x14ac:dyDescent="0.2">
      <c r="A231" s="62"/>
      <c r="B231" s="47"/>
      <c r="C231" s="47"/>
      <c r="D231" s="47"/>
      <c r="E231" s="47"/>
      <c r="F231" s="48"/>
      <c r="G231" s="47"/>
      <c r="H231" s="47"/>
      <c r="I231" s="98"/>
      <c r="J231" s="51"/>
      <c r="K231" s="52"/>
      <c r="L231" s="53"/>
      <c r="M231" s="54"/>
      <c r="N231" s="55"/>
      <c r="O231" s="56"/>
      <c r="P231" s="56"/>
      <c r="Q231" s="56"/>
      <c r="R231" s="57"/>
      <c r="S231" s="57"/>
      <c r="T231" s="57"/>
      <c r="U231" s="59"/>
      <c r="V231" s="42">
        <f t="shared" si="12"/>
        <v>0</v>
      </c>
      <c r="W231" s="60">
        <f t="shared" si="10"/>
        <v>0</v>
      </c>
      <c r="X231" s="44">
        <f t="shared" si="11"/>
        <v>0</v>
      </c>
    </row>
    <row r="232" spans="1:24" ht="15" x14ac:dyDescent="0.2">
      <c r="A232" s="62"/>
      <c r="B232" s="47"/>
      <c r="C232" s="47"/>
      <c r="D232" s="47"/>
      <c r="E232" s="47"/>
      <c r="F232" s="48"/>
      <c r="G232" s="47"/>
      <c r="H232" s="47"/>
      <c r="I232" s="99"/>
      <c r="J232" s="51"/>
      <c r="K232" s="52"/>
      <c r="L232" s="53"/>
      <c r="M232" s="54"/>
      <c r="N232" s="55"/>
      <c r="O232" s="56"/>
      <c r="P232" s="56"/>
      <c r="Q232" s="56"/>
      <c r="R232" s="57"/>
      <c r="S232" s="57"/>
      <c r="T232" s="57"/>
      <c r="U232" s="59"/>
      <c r="V232" s="42">
        <f t="shared" si="12"/>
        <v>0</v>
      </c>
      <c r="W232" s="60">
        <f t="shared" si="10"/>
        <v>0</v>
      </c>
      <c r="X232" s="44">
        <f t="shared" si="11"/>
        <v>0</v>
      </c>
    </row>
    <row r="233" spans="1:24" ht="15" x14ac:dyDescent="0.2">
      <c r="A233" s="62"/>
      <c r="B233" s="47"/>
      <c r="C233" s="47"/>
      <c r="D233" s="47"/>
      <c r="E233" s="47"/>
      <c r="F233" s="48"/>
      <c r="G233" s="47"/>
      <c r="H233" s="47"/>
      <c r="I233" s="98"/>
      <c r="J233" s="51"/>
      <c r="K233" s="52"/>
      <c r="L233" s="53"/>
      <c r="M233" s="54"/>
      <c r="N233" s="55"/>
      <c r="O233" s="56"/>
      <c r="P233" s="56"/>
      <c r="Q233" s="56"/>
      <c r="R233" s="57"/>
      <c r="S233" s="57"/>
      <c r="T233" s="57"/>
      <c r="U233" s="59"/>
      <c r="V233" s="42">
        <f t="shared" si="12"/>
        <v>0</v>
      </c>
      <c r="W233" s="60">
        <f t="shared" si="10"/>
        <v>0</v>
      </c>
      <c r="X233" s="44">
        <f t="shared" si="11"/>
        <v>0</v>
      </c>
    </row>
    <row r="234" spans="1:24" ht="15" x14ac:dyDescent="0.2">
      <c r="A234" s="62"/>
      <c r="B234" s="47"/>
      <c r="C234" s="47"/>
      <c r="D234" s="47"/>
      <c r="E234" s="47"/>
      <c r="F234" s="48"/>
      <c r="G234" s="47"/>
      <c r="H234" s="47"/>
      <c r="I234" s="98"/>
      <c r="J234" s="51"/>
      <c r="K234" s="52"/>
      <c r="L234" s="53"/>
      <c r="M234" s="54"/>
      <c r="N234" s="55"/>
      <c r="O234" s="56"/>
      <c r="P234" s="56"/>
      <c r="Q234" s="56"/>
      <c r="R234" s="57"/>
      <c r="S234" s="57"/>
      <c r="T234" s="57"/>
      <c r="U234" s="59"/>
      <c r="V234" s="42">
        <f t="shared" si="12"/>
        <v>0</v>
      </c>
      <c r="W234" s="60">
        <f t="shared" si="10"/>
        <v>0</v>
      </c>
      <c r="X234" s="44">
        <f t="shared" si="11"/>
        <v>0</v>
      </c>
    </row>
    <row r="235" spans="1:24" ht="15" x14ac:dyDescent="0.2">
      <c r="A235" s="62"/>
      <c r="B235" s="47"/>
      <c r="C235" s="47"/>
      <c r="D235" s="47"/>
      <c r="E235" s="47"/>
      <c r="F235" s="48"/>
      <c r="G235" s="47"/>
      <c r="H235" s="47"/>
      <c r="I235" s="98"/>
      <c r="J235" s="51"/>
      <c r="K235" s="52"/>
      <c r="L235" s="53"/>
      <c r="M235" s="54"/>
      <c r="N235" s="55"/>
      <c r="O235" s="56"/>
      <c r="P235" s="56"/>
      <c r="Q235" s="56"/>
      <c r="R235" s="57"/>
      <c r="S235" s="57"/>
      <c r="T235" s="57"/>
      <c r="U235" s="59"/>
      <c r="V235" s="42">
        <f t="shared" si="12"/>
        <v>0</v>
      </c>
      <c r="W235" s="60">
        <f t="shared" si="10"/>
        <v>0</v>
      </c>
      <c r="X235" s="44">
        <f t="shared" si="11"/>
        <v>0</v>
      </c>
    </row>
    <row r="236" spans="1:24" ht="15" x14ac:dyDescent="0.2">
      <c r="A236" s="62"/>
      <c r="B236" s="47"/>
      <c r="C236" s="47"/>
      <c r="D236" s="47"/>
      <c r="E236" s="47"/>
      <c r="F236" s="48"/>
      <c r="G236" s="47"/>
      <c r="H236" s="47"/>
      <c r="I236" s="99"/>
      <c r="J236" s="51"/>
      <c r="K236" s="52"/>
      <c r="L236" s="53"/>
      <c r="M236" s="54"/>
      <c r="N236" s="55"/>
      <c r="O236" s="56"/>
      <c r="P236" s="56"/>
      <c r="Q236" s="56"/>
      <c r="R236" s="57"/>
      <c r="S236" s="57"/>
      <c r="T236" s="57"/>
      <c r="U236" s="59"/>
      <c r="V236" s="42">
        <f t="shared" si="12"/>
        <v>0</v>
      </c>
      <c r="W236" s="60">
        <f t="shared" si="10"/>
        <v>0</v>
      </c>
      <c r="X236" s="44">
        <f t="shared" si="11"/>
        <v>0</v>
      </c>
    </row>
    <row r="237" spans="1:24" ht="15" x14ac:dyDescent="0.2">
      <c r="A237" s="62"/>
      <c r="B237" s="47"/>
      <c r="C237" s="47"/>
      <c r="D237" s="47"/>
      <c r="E237" s="47"/>
      <c r="F237" s="48"/>
      <c r="G237" s="47"/>
      <c r="H237" s="47"/>
      <c r="I237" s="98"/>
      <c r="J237" s="51"/>
      <c r="K237" s="52"/>
      <c r="L237" s="53"/>
      <c r="M237" s="54"/>
      <c r="N237" s="55"/>
      <c r="O237" s="56"/>
      <c r="P237" s="56"/>
      <c r="Q237" s="56"/>
      <c r="R237" s="57"/>
      <c r="S237" s="57"/>
      <c r="T237" s="57"/>
      <c r="U237" s="59"/>
      <c r="V237" s="42">
        <f t="shared" si="12"/>
        <v>0</v>
      </c>
      <c r="W237" s="60">
        <f t="shared" si="10"/>
        <v>0</v>
      </c>
      <c r="X237" s="44">
        <f t="shared" si="11"/>
        <v>0</v>
      </c>
    </row>
    <row r="238" spans="1:24" ht="15" x14ac:dyDescent="0.2">
      <c r="A238" s="62"/>
      <c r="B238" s="47"/>
      <c r="C238" s="47"/>
      <c r="D238" s="47"/>
      <c r="E238" s="47"/>
      <c r="F238" s="48"/>
      <c r="G238" s="47"/>
      <c r="H238" s="47"/>
      <c r="I238" s="98"/>
      <c r="J238" s="51"/>
      <c r="K238" s="52"/>
      <c r="L238" s="53"/>
      <c r="M238" s="54"/>
      <c r="N238" s="55"/>
      <c r="O238" s="56"/>
      <c r="P238" s="56"/>
      <c r="Q238" s="56"/>
      <c r="R238" s="57"/>
      <c r="S238" s="57"/>
      <c r="T238" s="57"/>
      <c r="U238" s="59"/>
      <c r="V238" s="42">
        <f t="shared" si="12"/>
        <v>0</v>
      </c>
      <c r="W238" s="60">
        <f t="shared" si="10"/>
        <v>0</v>
      </c>
      <c r="X238" s="44">
        <f t="shared" si="11"/>
        <v>0</v>
      </c>
    </row>
    <row r="239" spans="1:24" ht="15" x14ac:dyDescent="0.2">
      <c r="A239" s="62"/>
      <c r="B239" s="47"/>
      <c r="C239" s="47"/>
      <c r="D239" s="47"/>
      <c r="E239" s="47"/>
      <c r="F239" s="48"/>
      <c r="G239" s="47"/>
      <c r="H239" s="47"/>
      <c r="I239" s="98"/>
      <c r="J239" s="51"/>
      <c r="K239" s="52"/>
      <c r="L239" s="53"/>
      <c r="M239" s="54"/>
      <c r="N239" s="55"/>
      <c r="O239" s="56"/>
      <c r="P239" s="56"/>
      <c r="Q239" s="56"/>
      <c r="R239" s="57"/>
      <c r="S239" s="57"/>
      <c r="T239" s="57"/>
      <c r="U239" s="59"/>
      <c r="V239" s="42">
        <f t="shared" si="12"/>
        <v>0</v>
      </c>
      <c r="W239" s="60">
        <f t="shared" si="10"/>
        <v>0</v>
      </c>
      <c r="X239" s="44">
        <f t="shared" si="11"/>
        <v>0</v>
      </c>
    </row>
    <row r="240" spans="1:24" ht="15" x14ac:dyDescent="0.2">
      <c r="A240" s="62"/>
      <c r="B240" s="47"/>
      <c r="C240" s="47"/>
      <c r="D240" s="47"/>
      <c r="E240" s="47"/>
      <c r="F240" s="48"/>
      <c r="G240" s="47"/>
      <c r="H240" s="47"/>
      <c r="I240" s="99"/>
      <c r="J240" s="51"/>
      <c r="K240" s="52"/>
      <c r="L240" s="53"/>
      <c r="M240" s="54"/>
      <c r="N240" s="55"/>
      <c r="O240" s="56"/>
      <c r="P240" s="56"/>
      <c r="Q240" s="56"/>
      <c r="R240" s="57"/>
      <c r="S240" s="57"/>
      <c r="T240" s="57"/>
      <c r="U240" s="59"/>
      <c r="V240" s="42">
        <f t="shared" si="12"/>
        <v>0</v>
      </c>
      <c r="W240" s="60">
        <f t="shared" si="10"/>
        <v>0</v>
      </c>
      <c r="X240" s="44">
        <f t="shared" si="11"/>
        <v>0</v>
      </c>
    </row>
    <row r="241" spans="1:24" ht="15" x14ac:dyDescent="0.2">
      <c r="A241" s="62"/>
      <c r="B241" s="47"/>
      <c r="C241" s="47"/>
      <c r="D241" s="47"/>
      <c r="E241" s="47"/>
      <c r="F241" s="48"/>
      <c r="G241" s="47"/>
      <c r="H241" s="47"/>
      <c r="I241" s="98"/>
      <c r="J241" s="51"/>
      <c r="K241" s="52"/>
      <c r="L241" s="53"/>
      <c r="M241" s="54"/>
      <c r="N241" s="55"/>
      <c r="O241" s="56"/>
      <c r="P241" s="56"/>
      <c r="Q241" s="56"/>
      <c r="R241" s="57"/>
      <c r="S241" s="57"/>
      <c r="T241" s="57"/>
      <c r="U241" s="59"/>
      <c r="V241" s="42">
        <f t="shared" si="12"/>
        <v>0</v>
      </c>
      <c r="W241" s="60">
        <f t="shared" si="10"/>
        <v>0</v>
      </c>
      <c r="X241" s="44">
        <f t="shared" si="11"/>
        <v>0</v>
      </c>
    </row>
    <row r="242" spans="1:24" ht="15" x14ac:dyDescent="0.2">
      <c r="A242" s="62"/>
      <c r="B242" s="47"/>
      <c r="C242" s="47"/>
      <c r="D242" s="47"/>
      <c r="E242" s="47"/>
      <c r="F242" s="48"/>
      <c r="G242" s="47"/>
      <c r="H242" s="47"/>
      <c r="I242" s="98"/>
      <c r="J242" s="51"/>
      <c r="K242" s="52"/>
      <c r="L242" s="53"/>
      <c r="M242" s="54"/>
      <c r="N242" s="55"/>
      <c r="O242" s="56"/>
      <c r="P242" s="56"/>
      <c r="Q242" s="56"/>
      <c r="R242" s="57"/>
      <c r="S242" s="57"/>
      <c r="T242" s="57"/>
      <c r="U242" s="59"/>
      <c r="V242" s="42">
        <f t="shared" si="12"/>
        <v>0</v>
      </c>
      <c r="W242" s="60">
        <f t="shared" si="10"/>
        <v>0</v>
      </c>
      <c r="X242" s="44">
        <f t="shared" si="11"/>
        <v>0</v>
      </c>
    </row>
    <row r="243" spans="1:24" ht="15" x14ac:dyDescent="0.2">
      <c r="A243" s="62"/>
      <c r="B243" s="47"/>
      <c r="C243" s="47"/>
      <c r="D243" s="47"/>
      <c r="E243" s="47"/>
      <c r="F243" s="48"/>
      <c r="G243" s="47"/>
      <c r="H243" s="47"/>
      <c r="I243" s="98"/>
      <c r="J243" s="51"/>
      <c r="K243" s="52"/>
      <c r="L243" s="53"/>
      <c r="M243" s="54"/>
      <c r="N243" s="55"/>
      <c r="O243" s="56"/>
      <c r="P243" s="56"/>
      <c r="Q243" s="56"/>
      <c r="R243" s="57"/>
      <c r="S243" s="57"/>
      <c r="T243" s="57"/>
      <c r="U243" s="59"/>
      <c r="V243" s="42">
        <f t="shared" si="12"/>
        <v>0</v>
      </c>
      <c r="W243" s="60">
        <f t="shared" si="10"/>
        <v>0</v>
      </c>
      <c r="X243" s="44">
        <f t="shared" si="11"/>
        <v>0</v>
      </c>
    </row>
    <row r="244" spans="1:24" ht="15" x14ac:dyDescent="0.2">
      <c r="A244" s="62"/>
      <c r="B244" s="47"/>
      <c r="C244" s="47"/>
      <c r="D244" s="47"/>
      <c r="E244" s="47"/>
      <c r="F244" s="48"/>
      <c r="G244" s="47"/>
      <c r="H244" s="47"/>
      <c r="I244" s="99"/>
      <c r="J244" s="51"/>
      <c r="K244" s="52"/>
      <c r="L244" s="53"/>
      <c r="M244" s="54"/>
      <c r="N244" s="55"/>
      <c r="O244" s="56"/>
      <c r="P244" s="56"/>
      <c r="Q244" s="56"/>
      <c r="R244" s="57"/>
      <c r="S244" s="57"/>
      <c r="T244" s="57"/>
      <c r="U244" s="59"/>
      <c r="V244" s="42">
        <f t="shared" si="12"/>
        <v>0</v>
      </c>
      <c r="W244" s="60">
        <f t="shared" si="10"/>
        <v>0</v>
      </c>
      <c r="X244" s="44">
        <f t="shared" si="11"/>
        <v>0</v>
      </c>
    </row>
    <row r="245" spans="1:24" ht="15" x14ac:dyDescent="0.2">
      <c r="A245" s="62"/>
      <c r="B245" s="47"/>
      <c r="C245" s="47"/>
      <c r="D245" s="47"/>
      <c r="E245" s="47"/>
      <c r="F245" s="48"/>
      <c r="G245" s="47"/>
      <c r="H245" s="47"/>
      <c r="I245" s="98"/>
      <c r="J245" s="51"/>
      <c r="K245" s="52"/>
      <c r="L245" s="53"/>
      <c r="M245" s="54"/>
      <c r="N245" s="55"/>
      <c r="O245" s="56"/>
      <c r="P245" s="56"/>
      <c r="Q245" s="56"/>
      <c r="R245" s="57"/>
      <c r="S245" s="57"/>
      <c r="T245" s="57"/>
      <c r="U245" s="59"/>
      <c r="V245" s="42">
        <f t="shared" si="12"/>
        <v>0</v>
      </c>
      <c r="W245" s="60">
        <f t="shared" si="10"/>
        <v>0</v>
      </c>
      <c r="X245" s="44">
        <f t="shared" si="11"/>
        <v>0</v>
      </c>
    </row>
    <row r="246" spans="1:24" ht="15" x14ac:dyDescent="0.2">
      <c r="A246" s="62"/>
      <c r="B246" s="47"/>
      <c r="C246" s="47"/>
      <c r="D246" s="47"/>
      <c r="E246" s="47"/>
      <c r="F246" s="48"/>
      <c r="G246" s="47"/>
      <c r="H246" s="47"/>
      <c r="I246" s="98"/>
      <c r="J246" s="51"/>
      <c r="K246" s="52"/>
      <c r="L246" s="53"/>
      <c r="M246" s="54"/>
      <c r="N246" s="55"/>
      <c r="O246" s="56"/>
      <c r="P246" s="56"/>
      <c r="Q246" s="56"/>
      <c r="R246" s="57"/>
      <c r="S246" s="57"/>
      <c r="T246" s="57"/>
      <c r="U246" s="59"/>
      <c r="V246" s="42">
        <f t="shared" si="12"/>
        <v>0</v>
      </c>
      <c r="W246" s="60">
        <f t="shared" si="10"/>
        <v>0</v>
      </c>
      <c r="X246" s="44">
        <f t="shared" si="11"/>
        <v>0</v>
      </c>
    </row>
    <row r="247" spans="1:24" ht="15" x14ac:dyDescent="0.2">
      <c r="A247" s="62"/>
      <c r="B247" s="47"/>
      <c r="C247" s="47"/>
      <c r="D247" s="47"/>
      <c r="E247" s="47"/>
      <c r="F247" s="48"/>
      <c r="G247" s="47"/>
      <c r="H247" s="47"/>
      <c r="I247" s="98"/>
      <c r="J247" s="51"/>
      <c r="K247" s="52"/>
      <c r="L247" s="53"/>
      <c r="M247" s="54"/>
      <c r="N247" s="55"/>
      <c r="O247" s="56"/>
      <c r="P247" s="56"/>
      <c r="Q247" s="56"/>
      <c r="R247" s="57"/>
      <c r="S247" s="57"/>
      <c r="T247" s="57"/>
      <c r="U247" s="59"/>
      <c r="V247" s="42">
        <f t="shared" si="12"/>
        <v>0</v>
      </c>
      <c r="W247" s="60">
        <f t="shared" si="10"/>
        <v>0</v>
      </c>
      <c r="X247" s="44">
        <f t="shared" si="11"/>
        <v>0</v>
      </c>
    </row>
    <row r="248" spans="1:24" ht="15" x14ac:dyDescent="0.2">
      <c r="A248" s="62"/>
      <c r="B248" s="47"/>
      <c r="C248" s="47"/>
      <c r="D248" s="47"/>
      <c r="E248" s="47"/>
      <c r="F248" s="48"/>
      <c r="G248" s="47"/>
      <c r="H248" s="47"/>
      <c r="I248" s="99"/>
      <c r="J248" s="51"/>
      <c r="K248" s="52"/>
      <c r="L248" s="53"/>
      <c r="M248" s="54"/>
      <c r="N248" s="55"/>
      <c r="O248" s="56"/>
      <c r="P248" s="56"/>
      <c r="Q248" s="56"/>
      <c r="R248" s="57"/>
      <c r="S248" s="57"/>
      <c r="T248" s="57"/>
      <c r="U248" s="59"/>
      <c r="V248" s="42">
        <f t="shared" si="12"/>
        <v>0</v>
      </c>
      <c r="W248" s="60">
        <f t="shared" si="10"/>
        <v>0</v>
      </c>
      <c r="X248" s="44">
        <f t="shared" si="11"/>
        <v>0</v>
      </c>
    </row>
    <row r="249" spans="1:24" ht="15" x14ac:dyDescent="0.2">
      <c r="A249" s="62"/>
      <c r="B249" s="47"/>
      <c r="C249" s="47"/>
      <c r="D249" s="47"/>
      <c r="E249" s="47"/>
      <c r="F249" s="48"/>
      <c r="G249" s="47"/>
      <c r="H249" s="47"/>
      <c r="I249" s="98"/>
      <c r="J249" s="51"/>
      <c r="K249" s="52"/>
      <c r="L249" s="53"/>
      <c r="M249" s="54"/>
      <c r="N249" s="55"/>
      <c r="O249" s="56"/>
      <c r="P249" s="56"/>
      <c r="Q249" s="56"/>
      <c r="R249" s="57"/>
      <c r="S249" s="57"/>
      <c r="T249" s="57"/>
      <c r="U249" s="59"/>
      <c r="V249" s="42">
        <f t="shared" si="12"/>
        <v>0</v>
      </c>
      <c r="W249" s="60">
        <f t="shared" si="10"/>
        <v>0</v>
      </c>
      <c r="X249" s="44">
        <f t="shared" si="11"/>
        <v>0</v>
      </c>
    </row>
    <row r="250" spans="1:24" ht="15" x14ac:dyDescent="0.2">
      <c r="A250" s="62"/>
      <c r="B250" s="47"/>
      <c r="C250" s="47"/>
      <c r="D250" s="47"/>
      <c r="E250" s="47"/>
      <c r="F250" s="48"/>
      <c r="G250" s="47"/>
      <c r="H250" s="47"/>
      <c r="I250" s="98"/>
      <c r="J250" s="51"/>
      <c r="K250" s="52"/>
      <c r="L250" s="53"/>
      <c r="M250" s="54"/>
      <c r="N250" s="55"/>
      <c r="O250" s="56"/>
      <c r="P250" s="56"/>
      <c r="Q250" s="56"/>
      <c r="R250" s="57"/>
      <c r="S250" s="57"/>
      <c r="T250" s="57"/>
      <c r="U250" s="59"/>
      <c r="V250" s="42">
        <f t="shared" si="12"/>
        <v>0</v>
      </c>
      <c r="W250" s="60">
        <f t="shared" si="10"/>
        <v>0</v>
      </c>
      <c r="X250" s="44">
        <f t="shared" si="11"/>
        <v>0</v>
      </c>
    </row>
    <row r="251" spans="1:24" ht="15" x14ac:dyDescent="0.2">
      <c r="A251" s="62"/>
      <c r="B251" s="47"/>
      <c r="C251" s="47"/>
      <c r="D251" s="47"/>
      <c r="E251" s="47"/>
      <c r="F251" s="48"/>
      <c r="G251" s="47"/>
      <c r="H251" s="47"/>
      <c r="I251" s="98"/>
      <c r="J251" s="51"/>
      <c r="K251" s="52"/>
      <c r="L251" s="53"/>
      <c r="M251" s="54"/>
      <c r="N251" s="55"/>
      <c r="O251" s="56"/>
      <c r="P251" s="56"/>
      <c r="Q251" s="56"/>
      <c r="R251" s="57"/>
      <c r="S251" s="57"/>
      <c r="T251" s="57"/>
      <c r="U251" s="59"/>
      <c r="V251" s="42">
        <f t="shared" si="12"/>
        <v>0</v>
      </c>
      <c r="W251" s="60">
        <f t="shared" si="10"/>
        <v>0</v>
      </c>
      <c r="X251" s="44">
        <f t="shared" si="11"/>
        <v>0</v>
      </c>
    </row>
    <row r="252" spans="1:24" ht="15" x14ac:dyDescent="0.2">
      <c r="A252" s="62"/>
      <c r="B252" s="47"/>
      <c r="C252" s="47"/>
      <c r="D252" s="47"/>
      <c r="E252" s="47"/>
      <c r="F252" s="48"/>
      <c r="G252" s="47"/>
      <c r="H252" s="47"/>
      <c r="I252" s="99"/>
      <c r="J252" s="51"/>
      <c r="K252" s="52"/>
      <c r="L252" s="53"/>
      <c r="M252" s="54"/>
      <c r="N252" s="55"/>
      <c r="O252" s="56"/>
      <c r="P252" s="56"/>
      <c r="Q252" s="56"/>
      <c r="R252" s="57"/>
      <c r="S252" s="57"/>
      <c r="T252" s="57"/>
      <c r="U252" s="59"/>
      <c r="V252" s="42">
        <f t="shared" si="12"/>
        <v>0</v>
      </c>
      <c r="W252" s="60">
        <f t="shared" si="10"/>
        <v>0</v>
      </c>
      <c r="X252" s="44">
        <f t="shared" si="11"/>
        <v>0</v>
      </c>
    </row>
    <row r="253" spans="1:24" ht="15" x14ac:dyDescent="0.2">
      <c r="A253" s="62"/>
      <c r="B253" s="47"/>
      <c r="C253" s="47"/>
      <c r="D253" s="47"/>
      <c r="E253" s="47"/>
      <c r="F253" s="48"/>
      <c r="G253" s="47"/>
      <c r="H253" s="47"/>
      <c r="I253" s="98"/>
      <c r="J253" s="51"/>
      <c r="K253" s="52"/>
      <c r="L253" s="53"/>
      <c r="M253" s="54"/>
      <c r="N253" s="55"/>
      <c r="O253" s="56"/>
      <c r="P253" s="56"/>
      <c r="Q253" s="56"/>
      <c r="R253" s="57"/>
      <c r="S253" s="57"/>
      <c r="T253" s="57"/>
      <c r="U253" s="59"/>
      <c r="V253" s="42">
        <f t="shared" si="12"/>
        <v>0</v>
      </c>
      <c r="W253" s="60">
        <f t="shared" si="10"/>
        <v>0</v>
      </c>
      <c r="X253" s="44">
        <f t="shared" si="11"/>
        <v>0</v>
      </c>
    </row>
    <row r="254" spans="1:24" ht="15" x14ac:dyDescent="0.2">
      <c r="A254" s="62"/>
      <c r="B254" s="47"/>
      <c r="C254" s="47"/>
      <c r="D254" s="47"/>
      <c r="E254" s="47"/>
      <c r="F254" s="48"/>
      <c r="G254" s="47"/>
      <c r="H254" s="47"/>
      <c r="I254" s="98"/>
      <c r="J254" s="51"/>
      <c r="K254" s="52"/>
      <c r="L254" s="53"/>
      <c r="M254" s="54"/>
      <c r="N254" s="55"/>
      <c r="O254" s="56"/>
      <c r="P254" s="56"/>
      <c r="Q254" s="56"/>
      <c r="R254" s="57"/>
      <c r="S254" s="57"/>
      <c r="T254" s="57"/>
      <c r="U254" s="59"/>
      <c r="V254" s="42">
        <f t="shared" si="12"/>
        <v>0</v>
      </c>
      <c r="W254" s="60">
        <f t="shared" si="10"/>
        <v>0</v>
      </c>
      <c r="X254" s="44">
        <f t="shared" si="11"/>
        <v>0</v>
      </c>
    </row>
    <row r="255" spans="1:24" ht="15" x14ac:dyDescent="0.2">
      <c r="A255" s="62"/>
      <c r="B255" s="47"/>
      <c r="C255" s="47"/>
      <c r="D255" s="47"/>
      <c r="E255" s="47"/>
      <c r="F255" s="48"/>
      <c r="G255" s="47"/>
      <c r="H255" s="47"/>
      <c r="I255" s="98"/>
      <c r="J255" s="51"/>
      <c r="K255" s="52"/>
      <c r="L255" s="53"/>
      <c r="M255" s="54"/>
      <c r="N255" s="55"/>
      <c r="O255" s="56"/>
      <c r="P255" s="56"/>
      <c r="Q255" s="56"/>
      <c r="R255" s="57"/>
      <c r="S255" s="57"/>
      <c r="T255" s="57"/>
      <c r="U255" s="59"/>
      <c r="V255" s="42">
        <f t="shared" si="12"/>
        <v>0</v>
      </c>
      <c r="W255" s="60">
        <f t="shared" si="10"/>
        <v>0</v>
      </c>
      <c r="X255" s="44">
        <f t="shared" si="11"/>
        <v>0</v>
      </c>
    </row>
    <row r="256" spans="1:24" ht="15" x14ac:dyDescent="0.2">
      <c r="A256" s="62"/>
      <c r="B256" s="47"/>
      <c r="C256" s="47"/>
      <c r="D256" s="47"/>
      <c r="E256" s="47"/>
      <c r="F256" s="48"/>
      <c r="G256" s="47"/>
      <c r="H256" s="47"/>
      <c r="I256" s="99"/>
      <c r="J256" s="51"/>
      <c r="K256" s="52"/>
      <c r="L256" s="53"/>
      <c r="M256" s="54"/>
      <c r="N256" s="55"/>
      <c r="O256" s="56"/>
      <c r="P256" s="56"/>
      <c r="Q256" s="56"/>
      <c r="R256" s="57"/>
      <c r="S256" s="57"/>
      <c r="T256" s="57"/>
      <c r="U256" s="59"/>
      <c r="V256" s="42">
        <f t="shared" si="12"/>
        <v>0</v>
      </c>
      <c r="W256" s="60">
        <f t="shared" si="10"/>
        <v>0</v>
      </c>
      <c r="X256" s="44">
        <f t="shared" si="11"/>
        <v>0</v>
      </c>
    </row>
    <row r="257" spans="1:24" ht="15" x14ac:dyDescent="0.2">
      <c r="A257" s="62"/>
      <c r="B257" s="47"/>
      <c r="C257" s="47"/>
      <c r="D257" s="47"/>
      <c r="E257" s="47"/>
      <c r="F257" s="48"/>
      <c r="G257" s="47"/>
      <c r="H257" s="47"/>
      <c r="I257" s="98"/>
      <c r="J257" s="51"/>
      <c r="K257" s="52"/>
      <c r="L257" s="53"/>
      <c r="M257" s="54"/>
      <c r="N257" s="55"/>
      <c r="O257" s="56"/>
      <c r="P257" s="56"/>
      <c r="Q257" s="56"/>
      <c r="R257" s="57"/>
      <c r="S257" s="57"/>
      <c r="T257" s="57"/>
      <c r="U257" s="59"/>
      <c r="V257" s="42">
        <f t="shared" si="12"/>
        <v>0</v>
      </c>
      <c r="W257" s="60">
        <f t="shared" si="10"/>
        <v>0</v>
      </c>
      <c r="X257" s="44">
        <f t="shared" si="11"/>
        <v>0</v>
      </c>
    </row>
    <row r="258" spans="1:24" ht="15" x14ac:dyDescent="0.2">
      <c r="A258" s="62"/>
      <c r="B258" s="47"/>
      <c r="C258" s="47"/>
      <c r="D258" s="47"/>
      <c r="E258" s="47"/>
      <c r="F258" s="48"/>
      <c r="G258" s="47"/>
      <c r="H258" s="47"/>
      <c r="I258" s="98"/>
      <c r="J258" s="51"/>
      <c r="K258" s="52"/>
      <c r="L258" s="53"/>
      <c r="M258" s="54"/>
      <c r="N258" s="55"/>
      <c r="O258" s="56"/>
      <c r="P258" s="56"/>
      <c r="Q258" s="56"/>
      <c r="R258" s="57"/>
      <c r="S258" s="57"/>
      <c r="T258" s="57"/>
      <c r="U258" s="59"/>
      <c r="V258" s="42">
        <f t="shared" si="12"/>
        <v>0</v>
      </c>
      <c r="W258" s="60">
        <f t="shared" si="10"/>
        <v>0</v>
      </c>
      <c r="X258" s="44">
        <f t="shared" si="11"/>
        <v>0</v>
      </c>
    </row>
    <row r="259" spans="1:24" ht="15" x14ac:dyDescent="0.2">
      <c r="A259" s="62"/>
      <c r="B259" s="47"/>
      <c r="C259" s="47"/>
      <c r="D259" s="47"/>
      <c r="E259" s="47"/>
      <c r="F259" s="48"/>
      <c r="G259" s="47"/>
      <c r="H259" s="47"/>
      <c r="I259" s="98"/>
      <c r="J259" s="51"/>
      <c r="K259" s="52"/>
      <c r="L259" s="53"/>
      <c r="M259" s="54"/>
      <c r="N259" s="55"/>
      <c r="O259" s="56"/>
      <c r="P259" s="56"/>
      <c r="Q259" s="56"/>
      <c r="R259" s="57"/>
      <c r="S259" s="57"/>
      <c r="T259" s="57"/>
      <c r="U259" s="59"/>
      <c r="V259" s="42">
        <f t="shared" si="12"/>
        <v>0</v>
      </c>
      <c r="W259" s="60">
        <f t="shared" si="10"/>
        <v>0</v>
      </c>
      <c r="X259" s="44">
        <f t="shared" si="11"/>
        <v>0</v>
      </c>
    </row>
    <row r="260" spans="1:24" ht="15" x14ac:dyDescent="0.2">
      <c r="A260" s="62"/>
      <c r="B260" s="47"/>
      <c r="C260" s="47"/>
      <c r="D260" s="47"/>
      <c r="E260" s="47"/>
      <c r="F260" s="48"/>
      <c r="G260" s="47"/>
      <c r="H260" s="47"/>
      <c r="I260" s="99"/>
      <c r="J260" s="51"/>
      <c r="K260" s="52"/>
      <c r="L260" s="53"/>
      <c r="M260" s="54"/>
      <c r="N260" s="55"/>
      <c r="O260" s="56"/>
      <c r="P260" s="56"/>
      <c r="Q260" s="56"/>
      <c r="R260" s="57"/>
      <c r="S260" s="57"/>
      <c r="T260" s="57"/>
      <c r="U260" s="59"/>
      <c r="V260" s="42">
        <f t="shared" si="12"/>
        <v>0</v>
      </c>
      <c r="W260" s="60">
        <f t="shared" ref="W260:W300" si="13">V260*M260</f>
        <v>0</v>
      </c>
      <c r="X260" s="44">
        <f t="shared" ref="X260:X300" si="14">P260*$AA$30+Q260*$AA$31+N260*$AA$28+O260*$AA$29+R260*M260*$AA$32+S260*M260*$AA$33+T260*M260*$AA$34+V260*M260*$AA$35+U260*M260*$AA$36</f>
        <v>0</v>
      </c>
    </row>
    <row r="261" spans="1:24" ht="15" x14ac:dyDescent="0.2">
      <c r="A261" s="62"/>
      <c r="B261" s="47"/>
      <c r="C261" s="47"/>
      <c r="D261" s="47"/>
      <c r="E261" s="47"/>
      <c r="F261" s="48"/>
      <c r="G261" s="47"/>
      <c r="H261" s="47"/>
      <c r="I261" s="98"/>
      <c r="J261" s="51"/>
      <c r="K261" s="52"/>
      <c r="L261" s="53"/>
      <c r="M261" s="54"/>
      <c r="N261" s="55"/>
      <c r="O261" s="56"/>
      <c r="P261" s="56"/>
      <c r="Q261" s="56"/>
      <c r="R261" s="57"/>
      <c r="S261" s="57"/>
      <c r="T261" s="57"/>
      <c r="U261" s="59"/>
      <c r="V261" s="42">
        <f t="shared" si="12"/>
        <v>0</v>
      </c>
      <c r="W261" s="60">
        <f t="shared" si="13"/>
        <v>0</v>
      </c>
      <c r="X261" s="44">
        <f t="shared" si="14"/>
        <v>0</v>
      </c>
    </row>
    <row r="262" spans="1:24" ht="15" x14ac:dyDescent="0.2">
      <c r="A262" s="62"/>
      <c r="B262" s="47"/>
      <c r="C262" s="47"/>
      <c r="D262" s="47"/>
      <c r="E262" s="47"/>
      <c r="F262" s="48"/>
      <c r="G262" s="47"/>
      <c r="H262" s="47"/>
      <c r="I262" s="98"/>
      <c r="J262" s="51"/>
      <c r="K262" s="52"/>
      <c r="L262" s="53"/>
      <c r="M262" s="54"/>
      <c r="N262" s="55"/>
      <c r="O262" s="56"/>
      <c r="P262" s="56"/>
      <c r="Q262" s="56"/>
      <c r="R262" s="57"/>
      <c r="S262" s="57"/>
      <c r="T262" s="57"/>
      <c r="U262" s="59"/>
      <c r="V262" s="42">
        <f t="shared" si="12"/>
        <v>0</v>
      </c>
      <c r="W262" s="60">
        <f t="shared" si="13"/>
        <v>0</v>
      </c>
      <c r="X262" s="44">
        <f t="shared" si="14"/>
        <v>0</v>
      </c>
    </row>
    <row r="263" spans="1:24" ht="15" x14ac:dyDescent="0.2">
      <c r="A263" s="62"/>
      <c r="B263" s="47"/>
      <c r="C263" s="47"/>
      <c r="D263" s="47"/>
      <c r="E263" s="47"/>
      <c r="F263" s="48"/>
      <c r="G263" s="47"/>
      <c r="H263" s="47"/>
      <c r="I263" s="98"/>
      <c r="J263" s="51"/>
      <c r="K263" s="52"/>
      <c r="L263" s="53"/>
      <c r="M263" s="54"/>
      <c r="N263" s="55"/>
      <c r="O263" s="56"/>
      <c r="P263" s="56"/>
      <c r="Q263" s="56"/>
      <c r="R263" s="57"/>
      <c r="S263" s="57"/>
      <c r="T263" s="57"/>
      <c r="U263" s="59"/>
      <c r="V263" s="42">
        <f t="shared" si="12"/>
        <v>0</v>
      </c>
      <c r="W263" s="60">
        <f t="shared" si="13"/>
        <v>0</v>
      </c>
      <c r="X263" s="44">
        <f t="shared" si="14"/>
        <v>0</v>
      </c>
    </row>
    <row r="264" spans="1:24" ht="15" x14ac:dyDescent="0.2">
      <c r="A264" s="62"/>
      <c r="B264" s="47"/>
      <c r="C264" s="47"/>
      <c r="D264" s="47"/>
      <c r="E264" s="47"/>
      <c r="F264" s="48"/>
      <c r="G264" s="47"/>
      <c r="H264" s="47"/>
      <c r="I264" s="99"/>
      <c r="J264" s="51"/>
      <c r="K264" s="52"/>
      <c r="L264" s="53"/>
      <c r="M264" s="54"/>
      <c r="N264" s="55"/>
      <c r="O264" s="56"/>
      <c r="P264" s="56"/>
      <c r="Q264" s="56"/>
      <c r="R264" s="57"/>
      <c r="S264" s="57"/>
      <c r="T264" s="57"/>
      <c r="U264" s="59"/>
      <c r="V264" s="42">
        <f t="shared" ref="V264:V300" si="15">IF(ISBLANK(L264),0,IF(L264=0,0,IF(L264&gt;0,1)))</f>
        <v>0</v>
      </c>
      <c r="W264" s="60">
        <f t="shared" si="13"/>
        <v>0</v>
      </c>
      <c r="X264" s="44">
        <f t="shared" si="14"/>
        <v>0</v>
      </c>
    </row>
    <row r="265" spans="1:24" ht="15" x14ac:dyDescent="0.2">
      <c r="A265" s="62"/>
      <c r="B265" s="47"/>
      <c r="C265" s="47"/>
      <c r="D265" s="47"/>
      <c r="E265" s="47"/>
      <c r="F265" s="48"/>
      <c r="G265" s="47"/>
      <c r="H265" s="47"/>
      <c r="I265" s="98"/>
      <c r="J265" s="51"/>
      <c r="K265" s="52"/>
      <c r="L265" s="53"/>
      <c r="M265" s="54"/>
      <c r="N265" s="55"/>
      <c r="O265" s="56"/>
      <c r="P265" s="56"/>
      <c r="Q265" s="56"/>
      <c r="R265" s="57"/>
      <c r="S265" s="57"/>
      <c r="T265" s="57"/>
      <c r="U265" s="59"/>
      <c r="V265" s="42">
        <f t="shared" si="15"/>
        <v>0</v>
      </c>
      <c r="W265" s="60">
        <f t="shared" si="13"/>
        <v>0</v>
      </c>
      <c r="X265" s="44">
        <f t="shared" si="14"/>
        <v>0</v>
      </c>
    </row>
    <row r="266" spans="1:24" ht="15" x14ac:dyDescent="0.2">
      <c r="A266" s="62"/>
      <c r="B266" s="47"/>
      <c r="C266" s="47"/>
      <c r="D266" s="47"/>
      <c r="E266" s="47"/>
      <c r="F266" s="48"/>
      <c r="G266" s="47"/>
      <c r="H266" s="47"/>
      <c r="I266" s="98"/>
      <c r="J266" s="51"/>
      <c r="K266" s="52"/>
      <c r="L266" s="53"/>
      <c r="M266" s="54"/>
      <c r="N266" s="55"/>
      <c r="O266" s="56"/>
      <c r="P266" s="56"/>
      <c r="Q266" s="56"/>
      <c r="R266" s="57"/>
      <c r="S266" s="57"/>
      <c r="T266" s="57"/>
      <c r="U266" s="59"/>
      <c r="V266" s="42">
        <f t="shared" si="15"/>
        <v>0</v>
      </c>
      <c r="W266" s="60">
        <f t="shared" si="13"/>
        <v>0</v>
      </c>
      <c r="X266" s="44">
        <f t="shared" si="14"/>
        <v>0</v>
      </c>
    </row>
    <row r="267" spans="1:24" ht="15" x14ac:dyDescent="0.2">
      <c r="A267" s="62"/>
      <c r="B267" s="47"/>
      <c r="C267" s="47"/>
      <c r="D267" s="47"/>
      <c r="E267" s="47"/>
      <c r="F267" s="48"/>
      <c r="G267" s="47"/>
      <c r="H267" s="47"/>
      <c r="I267" s="98"/>
      <c r="J267" s="51"/>
      <c r="K267" s="52"/>
      <c r="L267" s="53"/>
      <c r="M267" s="54"/>
      <c r="N267" s="55"/>
      <c r="O267" s="56"/>
      <c r="P267" s="56"/>
      <c r="Q267" s="56"/>
      <c r="R267" s="57"/>
      <c r="S267" s="57"/>
      <c r="T267" s="57"/>
      <c r="U267" s="59"/>
      <c r="V267" s="42">
        <f t="shared" si="15"/>
        <v>0</v>
      </c>
      <c r="W267" s="60">
        <f t="shared" si="13"/>
        <v>0</v>
      </c>
      <c r="X267" s="44">
        <f t="shared" si="14"/>
        <v>0</v>
      </c>
    </row>
    <row r="268" spans="1:24" ht="15" x14ac:dyDescent="0.2">
      <c r="A268" s="62"/>
      <c r="B268" s="47"/>
      <c r="C268" s="47"/>
      <c r="D268" s="47"/>
      <c r="E268" s="47"/>
      <c r="F268" s="48"/>
      <c r="G268" s="47"/>
      <c r="H268" s="47"/>
      <c r="I268" s="99"/>
      <c r="J268" s="51"/>
      <c r="K268" s="52"/>
      <c r="L268" s="53"/>
      <c r="M268" s="54"/>
      <c r="N268" s="55"/>
      <c r="O268" s="56"/>
      <c r="P268" s="56"/>
      <c r="Q268" s="56"/>
      <c r="R268" s="57"/>
      <c r="S268" s="57"/>
      <c r="T268" s="57"/>
      <c r="U268" s="59"/>
      <c r="V268" s="42">
        <f t="shared" si="15"/>
        <v>0</v>
      </c>
      <c r="W268" s="60">
        <f t="shared" si="13"/>
        <v>0</v>
      </c>
      <c r="X268" s="44">
        <f t="shared" si="14"/>
        <v>0</v>
      </c>
    </row>
    <row r="269" spans="1:24" ht="15" x14ac:dyDescent="0.2">
      <c r="A269" s="62"/>
      <c r="B269" s="47"/>
      <c r="C269" s="47"/>
      <c r="D269" s="47"/>
      <c r="E269" s="47"/>
      <c r="F269" s="48"/>
      <c r="G269" s="47"/>
      <c r="H269" s="47"/>
      <c r="I269" s="98"/>
      <c r="J269" s="51"/>
      <c r="K269" s="52"/>
      <c r="L269" s="53"/>
      <c r="M269" s="54"/>
      <c r="N269" s="55"/>
      <c r="O269" s="56"/>
      <c r="P269" s="56"/>
      <c r="Q269" s="56"/>
      <c r="R269" s="57"/>
      <c r="S269" s="57"/>
      <c r="T269" s="57"/>
      <c r="U269" s="59"/>
      <c r="V269" s="42">
        <f t="shared" si="15"/>
        <v>0</v>
      </c>
      <c r="W269" s="60">
        <f t="shared" si="13"/>
        <v>0</v>
      </c>
      <c r="X269" s="44">
        <f t="shared" si="14"/>
        <v>0</v>
      </c>
    </row>
    <row r="270" spans="1:24" ht="15" x14ac:dyDescent="0.2">
      <c r="A270" s="62"/>
      <c r="B270" s="47"/>
      <c r="C270" s="47"/>
      <c r="D270" s="47"/>
      <c r="E270" s="47"/>
      <c r="F270" s="48"/>
      <c r="G270" s="47"/>
      <c r="H270" s="47"/>
      <c r="I270" s="98"/>
      <c r="J270" s="51"/>
      <c r="K270" s="52"/>
      <c r="L270" s="53"/>
      <c r="M270" s="54"/>
      <c r="N270" s="55"/>
      <c r="O270" s="56"/>
      <c r="P270" s="56"/>
      <c r="Q270" s="56"/>
      <c r="R270" s="57"/>
      <c r="S270" s="57"/>
      <c r="T270" s="57"/>
      <c r="U270" s="59"/>
      <c r="V270" s="42">
        <f t="shared" si="15"/>
        <v>0</v>
      </c>
      <c r="W270" s="60">
        <f t="shared" si="13"/>
        <v>0</v>
      </c>
      <c r="X270" s="44">
        <f t="shared" si="14"/>
        <v>0</v>
      </c>
    </row>
    <row r="271" spans="1:24" ht="15" x14ac:dyDescent="0.2">
      <c r="A271" s="62"/>
      <c r="B271" s="47"/>
      <c r="C271" s="47"/>
      <c r="D271" s="47"/>
      <c r="E271" s="47"/>
      <c r="F271" s="48"/>
      <c r="G271" s="47"/>
      <c r="H271" s="47"/>
      <c r="I271" s="98"/>
      <c r="J271" s="51"/>
      <c r="K271" s="52"/>
      <c r="L271" s="53"/>
      <c r="M271" s="54"/>
      <c r="N271" s="55"/>
      <c r="O271" s="56"/>
      <c r="P271" s="56"/>
      <c r="Q271" s="56"/>
      <c r="R271" s="57"/>
      <c r="S271" s="57"/>
      <c r="T271" s="57"/>
      <c r="U271" s="59"/>
      <c r="V271" s="42">
        <f t="shared" si="15"/>
        <v>0</v>
      </c>
      <c r="W271" s="60">
        <f t="shared" si="13"/>
        <v>0</v>
      </c>
      <c r="X271" s="44">
        <f t="shared" si="14"/>
        <v>0</v>
      </c>
    </row>
    <row r="272" spans="1:24" ht="15" x14ac:dyDescent="0.2">
      <c r="A272" s="62"/>
      <c r="B272" s="47"/>
      <c r="C272" s="47"/>
      <c r="D272" s="47"/>
      <c r="E272" s="47"/>
      <c r="F272" s="48"/>
      <c r="G272" s="47"/>
      <c r="H272" s="47"/>
      <c r="I272" s="99"/>
      <c r="J272" s="51"/>
      <c r="K272" s="52"/>
      <c r="L272" s="53"/>
      <c r="M272" s="54"/>
      <c r="N272" s="55"/>
      <c r="O272" s="56"/>
      <c r="P272" s="56"/>
      <c r="Q272" s="56"/>
      <c r="R272" s="57"/>
      <c r="S272" s="57"/>
      <c r="T272" s="57"/>
      <c r="U272" s="59"/>
      <c r="V272" s="42">
        <f t="shared" si="15"/>
        <v>0</v>
      </c>
      <c r="W272" s="60">
        <f t="shared" si="13"/>
        <v>0</v>
      </c>
      <c r="X272" s="44">
        <f t="shared" si="14"/>
        <v>0</v>
      </c>
    </row>
    <row r="273" spans="1:24" ht="15" x14ac:dyDescent="0.2">
      <c r="A273" s="62"/>
      <c r="B273" s="47"/>
      <c r="C273" s="47"/>
      <c r="D273" s="47"/>
      <c r="E273" s="47"/>
      <c r="F273" s="48"/>
      <c r="G273" s="47"/>
      <c r="H273" s="47"/>
      <c r="I273" s="98"/>
      <c r="J273" s="51"/>
      <c r="K273" s="52"/>
      <c r="L273" s="53"/>
      <c r="M273" s="54"/>
      <c r="N273" s="55"/>
      <c r="O273" s="56"/>
      <c r="P273" s="56"/>
      <c r="Q273" s="56"/>
      <c r="R273" s="57"/>
      <c r="S273" s="57"/>
      <c r="T273" s="57"/>
      <c r="U273" s="59"/>
      <c r="V273" s="42">
        <f t="shared" si="15"/>
        <v>0</v>
      </c>
      <c r="W273" s="60">
        <f t="shared" si="13"/>
        <v>0</v>
      </c>
      <c r="X273" s="44">
        <f t="shared" si="14"/>
        <v>0</v>
      </c>
    </row>
    <row r="274" spans="1:24" ht="15" x14ac:dyDescent="0.2">
      <c r="A274" s="62"/>
      <c r="B274" s="47"/>
      <c r="C274" s="47"/>
      <c r="D274" s="47"/>
      <c r="E274" s="47"/>
      <c r="F274" s="48"/>
      <c r="G274" s="47"/>
      <c r="H274" s="47"/>
      <c r="I274" s="98"/>
      <c r="J274" s="51"/>
      <c r="K274" s="52"/>
      <c r="L274" s="53"/>
      <c r="M274" s="54"/>
      <c r="N274" s="55"/>
      <c r="O274" s="56"/>
      <c r="P274" s="56"/>
      <c r="Q274" s="56"/>
      <c r="R274" s="57"/>
      <c r="S274" s="57"/>
      <c r="T274" s="57"/>
      <c r="U274" s="59"/>
      <c r="V274" s="42">
        <f t="shared" si="15"/>
        <v>0</v>
      </c>
      <c r="W274" s="60">
        <f t="shared" si="13"/>
        <v>0</v>
      </c>
      <c r="X274" s="44">
        <f t="shared" si="14"/>
        <v>0</v>
      </c>
    </row>
    <row r="275" spans="1:24" ht="15" x14ac:dyDescent="0.2">
      <c r="A275" s="62"/>
      <c r="B275" s="47"/>
      <c r="C275" s="47"/>
      <c r="D275" s="47"/>
      <c r="E275" s="47"/>
      <c r="F275" s="48"/>
      <c r="G275" s="47"/>
      <c r="H275" s="47"/>
      <c r="I275" s="98"/>
      <c r="J275" s="51"/>
      <c r="K275" s="52"/>
      <c r="L275" s="53"/>
      <c r="M275" s="54"/>
      <c r="N275" s="55"/>
      <c r="O275" s="56"/>
      <c r="P275" s="56"/>
      <c r="Q275" s="56"/>
      <c r="R275" s="57"/>
      <c r="S275" s="57"/>
      <c r="T275" s="57"/>
      <c r="U275" s="59"/>
      <c r="V275" s="42">
        <f t="shared" si="15"/>
        <v>0</v>
      </c>
      <c r="W275" s="60">
        <f t="shared" si="13"/>
        <v>0</v>
      </c>
      <c r="X275" s="44">
        <f t="shared" si="14"/>
        <v>0</v>
      </c>
    </row>
    <row r="276" spans="1:24" ht="15" x14ac:dyDescent="0.2">
      <c r="A276" s="62"/>
      <c r="B276" s="47"/>
      <c r="C276" s="47"/>
      <c r="D276" s="47"/>
      <c r="E276" s="47"/>
      <c r="F276" s="48"/>
      <c r="G276" s="47"/>
      <c r="H276" s="47"/>
      <c r="I276" s="99"/>
      <c r="J276" s="51"/>
      <c r="K276" s="52"/>
      <c r="L276" s="53"/>
      <c r="M276" s="54"/>
      <c r="N276" s="55"/>
      <c r="O276" s="56"/>
      <c r="P276" s="56"/>
      <c r="Q276" s="56"/>
      <c r="R276" s="57"/>
      <c r="S276" s="57"/>
      <c r="T276" s="57"/>
      <c r="U276" s="59"/>
      <c r="V276" s="42">
        <f t="shared" si="15"/>
        <v>0</v>
      </c>
      <c r="W276" s="60">
        <f t="shared" si="13"/>
        <v>0</v>
      </c>
      <c r="X276" s="44">
        <f t="shared" si="14"/>
        <v>0</v>
      </c>
    </row>
    <row r="277" spans="1:24" ht="15" x14ac:dyDescent="0.2">
      <c r="A277" s="62"/>
      <c r="B277" s="47"/>
      <c r="C277" s="47"/>
      <c r="D277" s="47"/>
      <c r="E277" s="47"/>
      <c r="F277" s="48"/>
      <c r="G277" s="47"/>
      <c r="H277" s="47"/>
      <c r="I277" s="98"/>
      <c r="J277" s="51"/>
      <c r="K277" s="52"/>
      <c r="L277" s="53"/>
      <c r="M277" s="54"/>
      <c r="N277" s="55"/>
      <c r="O277" s="56"/>
      <c r="P277" s="56"/>
      <c r="Q277" s="56"/>
      <c r="R277" s="57"/>
      <c r="S277" s="57"/>
      <c r="T277" s="57"/>
      <c r="U277" s="59"/>
      <c r="V277" s="42">
        <f t="shared" si="15"/>
        <v>0</v>
      </c>
      <c r="W277" s="60">
        <f t="shared" si="13"/>
        <v>0</v>
      </c>
      <c r="X277" s="44">
        <f t="shared" si="14"/>
        <v>0</v>
      </c>
    </row>
    <row r="278" spans="1:24" ht="15" x14ac:dyDescent="0.2">
      <c r="A278" s="62"/>
      <c r="B278" s="47"/>
      <c r="C278" s="47"/>
      <c r="D278" s="47"/>
      <c r="E278" s="47"/>
      <c r="F278" s="48"/>
      <c r="G278" s="47"/>
      <c r="H278" s="47"/>
      <c r="I278" s="98"/>
      <c r="J278" s="51"/>
      <c r="K278" s="52"/>
      <c r="L278" s="53"/>
      <c r="M278" s="54"/>
      <c r="N278" s="55"/>
      <c r="O278" s="56"/>
      <c r="P278" s="56"/>
      <c r="Q278" s="56"/>
      <c r="R278" s="57"/>
      <c r="S278" s="57"/>
      <c r="T278" s="57"/>
      <c r="U278" s="59"/>
      <c r="V278" s="42">
        <f t="shared" si="15"/>
        <v>0</v>
      </c>
      <c r="W278" s="60">
        <f t="shared" si="13"/>
        <v>0</v>
      </c>
      <c r="X278" s="44">
        <f t="shared" si="14"/>
        <v>0</v>
      </c>
    </row>
    <row r="279" spans="1:24" ht="15" x14ac:dyDescent="0.2">
      <c r="A279" s="62"/>
      <c r="B279" s="47"/>
      <c r="C279" s="47"/>
      <c r="D279" s="47"/>
      <c r="E279" s="47"/>
      <c r="F279" s="48"/>
      <c r="G279" s="47"/>
      <c r="H279" s="47"/>
      <c r="I279" s="98"/>
      <c r="J279" s="51"/>
      <c r="K279" s="52"/>
      <c r="L279" s="53"/>
      <c r="M279" s="54"/>
      <c r="N279" s="55"/>
      <c r="O279" s="56"/>
      <c r="P279" s="56"/>
      <c r="Q279" s="56"/>
      <c r="R279" s="57"/>
      <c r="S279" s="57"/>
      <c r="T279" s="57"/>
      <c r="U279" s="59"/>
      <c r="V279" s="42">
        <f t="shared" si="15"/>
        <v>0</v>
      </c>
      <c r="W279" s="60">
        <f t="shared" si="13"/>
        <v>0</v>
      </c>
      <c r="X279" s="44">
        <f t="shared" si="14"/>
        <v>0</v>
      </c>
    </row>
    <row r="280" spans="1:24" ht="15" x14ac:dyDescent="0.2">
      <c r="A280" s="62"/>
      <c r="B280" s="47"/>
      <c r="C280" s="47"/>
      <c r="D280" s="47"/>
      <c r="E280" s="47"/>
      <c r="F280" s="48"/>
      <c r="G280" s="47"/>
      <c r="H280" s="47"/>
      <c r="I280" s="99"/>
      <c r="J280" s="51"/>
      <c r="K280" s="52"/>
      <c r="L280" s="53"/>
      <c r="M280" s="54"/>
      <c r="N280" s="55"/>
      <c r="O280" s="56"/>
      <c r="P280" s="56"/>
      <c r="Q280" s="56"/>
      <c r="R280" s="57"/>
      <c r="S280" s="57"/>
      <c r="T280" s="57"/>
      <c r="U280" s="59"/>
      <c r="V280" s="42">
        <f t="shared" si="15"/>
        <v>0</v>
      </c>
      <c r="W280" s="60">
        <f t="shared" si="13"/>
        <v>0</v>
      </c>
      <c r="X280" s="44">
        <f t="shared" si="14"/>
        <v>0</v>
      </c>
    </row>
    <row r="281" spans="1:24" ht="15" x14ac:dyDescent="0.2">
      <c r="A281" s="62"/>
      <c r="B281" s="47"/>
      <c r="C281" s="47"/>
      <c r="D281" s="47"/>
      <c r="E281" s="47"/>
      <c r="F281" s="48"/>
      <c r="G281" s="47"/>
      <c r="H281" s="47"/>
      <c r="I281" s="98"/>
      <c r="J281" s="51"/>
      <c r="K281" s="52"/>
      <c r="L281" s="53"/>
      <c r="M281" s="54"/>
      <c r="N281" s="55"/>
      <c r="O281" s="56"/>
      <c r="P281" s="56"/>
      <c r="Q281" s="56"/>
      <c r="R281" s="57"/>
      <c r="S281" s="57"/>
      <c r="T281" s="57"/>
      <c r="U281" s="59"/>
      <c r="V281" s="42">
        <f t="shared" si="15"/>
        <v>0</v>
      </c>
      <c r="W281" s="60">
        <f t="shared" si="13"/>
        <v>0</v>
      </c>
      <c r="X281" s="44">
        <f t="shared" si="14"/>
        <v>0</v>
      </c>
    </row>
    <row r="282" spans="1:24" ht="15" x14ac:dyDescent="0.2">
      <c r="A282" s="62"/>
      <c r="B282" s="47"/>
      <c r="C282" s="47"/>
      <c r="D282" s="47"/>
      <c r="E282" s="47"/>
      <c r="F282" s="48"/>
      <c r="G282" s="47"/>
      <c r="H282" s="47"/>
      <c r="I282" s="98"/>
      <c r="J282" s="51"/>
      <c r="K282" s="52"/>
      <c r="L282" s="53"/>
      <c r="M282" s="54"/>
      <c r="N282" s="55"/>
      <c r="O282" s="56"/>
      <c r="P282" s="56"/>
      <c r="Q282" s="56"/>
      <c r="R282" s="57"/>
      <c r="S282" s="57"/>
      <c r="T282" s="57"/>
      <c r="U282" s="59"/>
      <c r="V282" s="42">
        <f t="shared" si="15"/>
        <v>0</v>
      </c>
      <c r="W282" s="60">
        <f t="shared" si="13"/>
        <v>0</v>
      </c>
      <c r="X282" s="44">
        <f t="shared" si="14"/>
        <v>0</v>
      </c>
    </row>
    <row r="283" spans="1:24" ht="15" x14ac:dyDescent="0.2">
      <c r="A283" s="62"/>
      <c r="B283" s="47"/>
      <c r="C283" s="47"/>
      <c r="D283" s="47"/>
      <c r="E283" s="47"/>
      <c r="F283" s="48"/>
      <c r="G283" s="47"/>
      <c r="H283" s="47"/>
      <c r="I283" s="98"/>
      <c r="J283" s="51"/>
      <c r="K283" s="52"/>
      <c r="L283" s="53"/>
      <c r="M283" s="54"/>
      <c r="N283" s="55"/>
      <c r="O283" s="56"/>
      <c r="P283" s="56"/>
      <c r="Q283" s="56"/>
      <c r="R283" s="57"/>
      <c r="S283" s="57"/>
      <c r="T283" s="57"/>
      <c r="U283" s="59"/>
      <c r="V283" s="42">
        <f t="shared" si="15"/>
        <v>0</v>
      </c>
      <c r="W283" s="60">
        <f t="shared" si="13"/>
        <v>0</v>
      </c>
      <c r="X283" s="44">
        <f t="shared" si="14"/>
        <v>0</v>
      </c>
    </row>
    <row r="284" spans="1:24" ht="15" x14ac:dyDescent="0.2">
      <c r="A284" s="62"/>
      <c r="B284" s="47"/>
      <c r="C284" s="47"/>
      <c r="D284" s="47"/>
      <c r="E284" s="47"/>
      <c r="F284" s="48"/>
      <c r="G284" s="47"/>
      <c r="H284" s="47"/>
      <c r="I284" s="99"/>
      <c r="J284" s="51"/>
      <c r="K284" s="52"/>
      <c r="L284" s="53"/>
      <c r="M284" s="54"/>
      <c r="N284" s="55"/>
      <c r="O284" s="56"/>
      <c r="P284" s="56"/>
      <c r="Q284" s="56"/>
      <c r="R284" s="57"/>
      <c r="S284" s="57"/>
      <c r="T284" s="57"/>
      <c r="U284" s="59"/>
      <c r="V284" s="42">
        <f t="shared" si="15"/>
        <v>0</v>
      </c>
      <c r="W284" s="60">
        <f t="shared" si="13"/>
        <v>0</v>
      </c>
      <c r="X284" s="44">
        <f t="shared" si="14"/>
        <v>0</v>
      </c>
    </row>
    <row r="285" spans="1:24" ht="15" x14ac:dyDescent="0.2">
      <c r="A285" s="62"/>
      <c r="B285" s="47"/>
      <c r="C285" s="47"/>
      <c r="D285" s="47"/>
      <c r="E285" s="47"/>
      <c r="F285" s="48"/>
      <c r="G285" s="47"/>
      <c r="H285" s="47"/>
      <c r="I285" s="98"/>
      <c r="J285" s="51"/>
      <c r="K285" s="52"/>
      <c r="L285" s="53"/>
      <c r="M285" s="54"/>
      <c r="N285" s="55"/>
      <c r="O285" s="56"/>
      <c r="P285" s="56"/>
      <c r="Q285" s="56"/>
      <c r="R285" s="57"/>
      <c r="S285" s="57"/>
      <c r="T285" s="57"/>
      <c r="U285" s="59"/>
      <c r="V285" s="42">
        <f t="shared" si="15"/>
        <v>0</v>
      </c>
      <c r="W285" s="60">
        <f t="shared" si="13"/>
        <v>0</v>
      </c>
      <c r="X285" s="44">
        <f t="shared" si="14"/>
        <v>0</v>
      </c>
    </row>
    <row r="286" spans="1:24" ht="15" x14ac:dyDescent="0.2">
      <c r="A286" s="62"/>
      <c r="B286" s="47"/>
      <c r="C286" s="47"/>
      <c r="D286" s="47"/>
      <c r="E286" s="47"/>
      <c r="F286" s="48"/>
      <c r="G286" s="47"/>
      <c r="H286" s="47"/>
      <c r="I286" s="98"/>
      <c r="J286" s="51"/>
      <c r="K286" s="52"/>
      <c r="L286" s="53"/>
      <c r="M286" s="54"/>
      <c r="N286" s="55"/>
      <c r="O286" s="56"/>
      <c r="P286" s="56"/>
      <c r="Q286" s="56"/>
      <c r="R286" s="57"/>
      <c r="S286" s="57"/>
      <c r="T286" s="57"/>
      <c r="U286" s="59"/>
      <c r="V286" s="42">
        <f t="shared" si="15"/>
        <v>0</v>
      </c>
      <c r="W286" s="60">
        <f t="shared" si="13"/>
        <v>0</v>
      </c>
      <c r="X286" s="44">
        <f t="shared" si="14"/>
        <v>0</v>
      </c>
    </row>
    <row r="287" spans="1:24" ht="15" x14ac:dyDescent="0.2">
      <c r="A287" s="62"/>
      <c r="B287" s="47"/>
      <c r="C287" s="47"/>
      <c r="D287" s="47"/>
      <c r="E287" s="47"/>
      <c r="F287" s="48"/>
      <c r="G287" s="47"/>
      <c r="H287" s="47"/>
      <c r="I287" s="98"/>
      <c r="J287" s="51"/>
      <c r="K287" s="52"/>
      <c r="L287" s="53"/>
      <c r="M287" s="54"/>
      <c r="N287" s="55"/>
      <c r="O287" s="56"/>
      <c r="P287" s="56"/>
      <c r="Q287" s="56"/>
      <c r="R287" s="57"/>
      <c r="S287" s="57"/>
      <c r="T287" s="57"/>
      <c r="U287" s="59"/>
      <c r="V287" s="42">
        <f t="shared" si="15"/>
        <v>0</v>
      </c>
      <c r="W287" s="60">
        <f t="shared" si="13"/>
        <v>0</v>
      </c>
      <c r="X287" s="44">
        <f t="shared" si="14"/>
        <v>0</v>
      </c>
    </row>
    <row r="288" spans="1:24" ht="15" x14ac:dyDescent="0.2">
      <c r="A288" s="62"/>
      <c r="B288" s="47"/>
      <c r="C288" s="47"/>
      <c r="D288" s="47"/>
      <c r="E288" s="47"/>
      <c r="F288" s="48"/>
      <c r="G288" s="47"/>
      <c r="H288" s="47"/>
      <c r="I288" s="99"/>
      <c r="J288" s="51"/>
      <c r="K288" s="52"/>
      <c r="L288" s="53"/>
      <c r="M288" s="54"/>
      <c r="N288" s="55"/>
      <c r="O288" s="56"/>
      <c r="P288" s="56"/>
      <c r="Q288" s="56"/>
      <c r="R288" s="57"/>
      <c r="S288" s="57"/>
      <c r="T288" s="57"/>
      <c r="U288" s="59"/>
      <c r="V288" s="42">
        <f t="shared" si="15"/>
        <v>0</v>
      </c>
      <c r="W288" s="60">
        <f t="shared" si="13"/>
        <v>0</v>
      </c>
      <c r="X288" s="44">
        <f t="shared" si="14"/>
        <v>0</v>
      </c>
    </row>
    <row r="289" spans="1:24" ht="15" x14ac:dyDescent="0.2">
      <c r="A289" s="62"/>
      <c r="B289" s="47"/>
      <c r="C289" s="47"/>
      <c r="D289" s="47"/>
      <c r="E289" s="47"/>
      <c r="F289" s="48"/>
      <c r="G289" s="47"/>
      <c r="H289" s="47"/>
      <c r="I289" s="98"/>
      <c r="J289" s="51"/>
      <c r="K289" s="52"/>
      <c r="L289" s="53"/>
      <c r="M289" s="54"/>
      <c r="N289" s="55"/>
      <c r="O289" s="56"/>
      <c r="P289" s="56"/>
      <c r="Q289" s="56"/>
      <c r="R289" s="57"/>
      <c r="S289" s="57"/>
      <c r="T289" s="57"/>
      <c r="U289" s="59"/>
      <c r="V289" s="42">
        <f t="shared" si="15"/>
        <v>0</v>
      </c>
      <c r="W289" s="60">
        <f t="shared" si="13"/>
        <v>0</v>
      </c>
      <c r="X289" s="44">
        <f t="shared" si="14"/>
        <v>0</v>
      </c>
    </row>
    <row r="290" spans="1:24" ht="15" x14ac:dyDescent="0.2">
      <c r="A290" s="62"/>
      <c r="B290" s="47"/>
      <c r="C290" s="47"/>
      <c r="D290" s="47"/>
      <c r="E290" s="47"/>
      <c r="F290" s="48"/>
      <c r="G290" s="47"/>
      <c r="H290" s="47"/>
      <c r="I290" s="98"/>
      <c r="J290" s="51"/>
      <c r="K290" s="52"/>
      <c r="L290" s="53"/>
      <c r="M290" s="54"/>
      <c r="N290" s="55"/>
      <c r="O290" s="56"/>
      <c r="P290" s="56"/>
      <c r="Q290" s="56"/>
      <c r="R290" s="57"/>
      <c r="S290" s="57"/>
      <c r="T290" s="57"/>
      <c r="U290" s="59"/>
      <c r="V290" s="42">
        <f t="shared" si="15"/>
        <v>0</v>
      </c>
      <c r="W290" s="60">
        <f t="shared" si="13"/>
        <v>0</v>
      </c>
      <c r="X290" s="44">
        <f t="shared" si="14"/>
        <v>0</v>
      </c>
    </row>
    <row r="291" spans="1:24" ht="15" x14ac:dyDescent="0.2">
      <c r="A291" s="62"/>
      <c r="B291" s="47"/>
      <c r="C291" s="47"/>
      <c r="D291" s="47"/>
      <c r="E291" s="47"/>
      <c r="F291" s="48"/>
      <c r="G291" s="47"/>
      <c r="H291" s="47"/>
      <c r="I291" s="98"/>
      <c r="J291" s="51"/>
      <c r="K291" s="52"/>
      <c r="L291" s="53"/>
      <c r="M291" s="54"/>
      <c r="N291" s="55"/>
      <c r="O291" s="56"/>
      <c r="P291" s="56"/>
      <c r="Q291" s="56"/>
      <c r="R291" s="57"/>
      <c r="S291" s="57"/>
      <c r="T291" s="57"/>
      <c r="U291" s="59"/>
      <c r="V291" s="42">
        <f t="shared" si="15"/>
        <v>0</v>
      </c>
      <c r="W291" s="60">
        <f t="shared" si="13"/>
        <v>0</v>
      </c>
      <c r="X291" s="44">
        <f t="shared" si="14"/>
        <v>0</v>
      </c>
    </row>
    <row r="292" spans="1:24" ht="15" x14ac:dyDescent="0.2">
      <c r="A292" s="62"/>
      <c r="B292" s="47"/>
      <c r="C292" s="47"/>
      <c r="D292" s="47"/>
      <c r="E292" s="47"/>
      <c r="F292" s="48"/>
      <c r="G292" s="47"/>
      <c r="H292" s="47"/>
      <c r="I292" s="99"/>
      <c r="J292" s="51"/>
      <c r="K292" s="52"/>
      <c r="L292" s="53"/>
      <c r="M292" s="54"/>
      <c r="N292" s="55"/>
      <c r="O292" s="56"/>
      <c r="P292" s="56"/>
      <c r="Q292" s="56"/>
      <c r="R292" s="57"/>
      <c r="S292" s="57"/>
      <c r="T292" s="57"/>
      <c r="U292" s="59"/>
      <c r="V292" s="42">
        <f t="shared" si="15"/>
        <v>0</v>
      </c>
      <c r="W292" s="60">
        <f t="shared" si="13"/>
        <v>0</v>
      </c>
      <c r="X292" s="44">
        <f t="shared" si="14"/>
        <v>0</v>
      </c>
    </row>
    <row r="293" spans="1:24" ht="15" x14ac:dyDescent="0.2">
      <c r="A293" s="62"/>
      <c r="B293" s="47"/>
      <c r="C293" s="47"/>
      <c r="D293" s="47"/>
      <c r="E293" s="47"/>
      <c r="F293" s="48"/>
      <c r="G293" s="47"/>
      <c r="H293" s="47"/>
      <c r="I293" s="98"/>
      <c r="J293" s="51"/>
      <c r="K293" s="52"/>
      <c r="L293" s="53"/>
      <c r="M293" s="54"/>
      <c r="N293" s="55"/>
      <c r="O293" s="56"/>
      <c r="P293" s="56"/>
      <c r="Q293" s="56"/>
      <c r="R293" s="57"/>
      <c r="S293" s="57"/>
      <c r="T293" s="57"/>
      <c r="U293" s="59"/>
      <c r="V293" s="42">
        <f t="shared" si="15"/>
        <v>0</v>
      </c>
      <c r="W293" s="60">
        <f t="shared" si="13"/>
        <v>0</v>
      </c>
      <c r="X293" s="44">
        <f t="shared" si="14"/>
        <v>0</v>
      </c>
    </row>
    <row r="294" spans="1:24" ht="15" x14ac:dyDescent="0.2">
      <c r="A294" s="62"/>
      <c r="B294" s="47"/>
      <c r="C294" s="47"/>
      <c r="D294" s="47"/>
      <c r="E294" s="47"/>
      <c r="F294" s="48"/>
      <c r="G294" s="47"/>
      <c r="H294" s="47"/>
      <c r="I294" s="98"/>
      <c r="J294" s="51"/>
      <c r="K294" s="52"/>
      <c r="L294" s="53"/>
      <c r="M294" s="54"/>
      <c r="N294" s="55"/>
      <c r="O294" s="56"/>
      <c r="P294" s="56"/>
      <c r="Q294" s="56"/>
      <c r="R294" s="57"/>
      <c r="S294" s="57"/>
      <c r="T294" s="57"/>
      <c r="U294" s="59"/>
      <c r="V294" s="42">
        <f t="shared" si="15"/>
        <v>0</v>
      </c>
      <c r="W294" s="60">
        <f t="shared" si="13"/>
        <v>0</v>
      </c>
      <c r="X294" s="44">
        <f t="shared" si="14"/>
        <v>0</v>
      </c>
    </row>
    <row r="295" spans="1:24" ht="15" x14ac:dyDescent="0.2">
      <c r="A295" s="62"/>
      <c r="B295" s="47"/>
      <c r="C295" s="47"/>
      <c r="D295" s="47"/>
      <c r="E295" s="47"/>
      <c r="F295" s="48"/>
      <c r="G295" s="47"/>
      <c r="H295" s="47"/>
      <c r="I295" s="98"/>
      <c r="J295" s="51"/>
      <c r="K295" s="52"/>
      <c r="L295" s="53"/>
      <c r="M295" s="54"/>
      <c r="N295" s="55"/>
      <c r="O295" s="56"/>
      <c r="P295" s="56"/>
      <c r="Q295" s="56"/>
      <c r="R295" s="57"/>
      <c r="S295" s="57"/>
      <c r="T295" s="57"/>
      <c r="U295" s="59"/>
      <c r="V295" s="42">
        <f t="shared" si="15"/>
        <v>0</v>
      </c>
      <c r="W295" s="60">
        <f t="shared" si="13"/>
        <v>0</v>
      </c>
      <c r="X295" s="44">
        <f t="shared" si="14"/>
        <v>0</v>
      </c>
    </row>
    <row r="296" spans="1:24" ht="15" x14ac:dyDescent="0.2">
      <c r="A296" s="62"/>
      <c r="B296" s="47"/>
      <c r="C296" s="47"/>
      <c r="D296" s="47"/>
      <c r="E296" s="47"/>
      <c r="F296" s="48"/>
      <c r="G296" s="47"/>
      <c r="H296" s="47"/>
      <c r="I296" s="99"/>
      <c r="J296" s="51"/>
      <c r="K296" s="52"/>
      <c r="L296" s="53"/>
      <c r="M296" s="54"/>
      <c r="N296" s="55"/>
      <c r="O296" s="56"/>
      <c r="P296" s="56"/>
      <c r="Q296" s="56"/>
      <c r="R296" s="57"/>
      <c r="S296" s="57"/>
      <c r="T296" s="57"/>
      <c r="U296" s="59"/>
      <c r="V296" s="42">
        <f t="shared" si="15"/>
        <v>0</v>
      </c>
      <c r="W296" s="60">
        <f t="shared" si="13"/>
        <v>0</v>
      </c>
      <c r="X296" s="44">
        <f t="shared" si="14"/>
        <v>0</v>
      </c>
    </row>
    <row r="297" spans="1:24" ht="15" x14ac:dyDescent="0.2">
      <c r="A297" s="62"/>
      <c r="B297" s="47"/>
      <c r="C297" s="47"/>
      <c r="D297" s="47"/>
      <c r="E297" s="47"/>
      <c r="F297" s="48"/>
      <c r="G297" s="47"/>
      <c r="H297" s="47"/>
      <c r="I297" s="98"/>
      <c r="J297" s="51"/>
      <c r="K297" s="52"/>
      <c r="L297" s="53"/>
      <c r="M297" s="54"/>
      <c r="N297" s="55"/>
      <c r="O297" s="56"/>
      <c r="P297" s="56"/>
      <c r="Q297" s="56"/>
      <c r="R297" s="57"/>
      <c r="S297" s="57"/>
      <c r="T297" s="57"/>
      <c r="U297" s="59"/>
      <c r="V297" s="42">
        <f t="shared" si="15"/>
        <v>0</v>
      </c>
      <c r="W297" s="60">
        <f t="shared" si="13"/>
        <v>0</v>
      </c>
      <c r="X297" s="44">
        <f t="shared" si="14"/>
        <v>0</v>
      </c>
    </row>
    <row r="298" spans="1:24" ht="15" x14ac:dyDescent="0.2">
      <c r="A298" s="62"/>
      <c r="B298" s="47"/>
      <c r="C298" s="47"/>
      <c r="D298" s="47"/>
      <c r="E298" s="47"/>
      <c r="F298" s="48"/>
      <c r="G298" s="47"/>
      <c r="H298" s="47"/>
      <c r="I298" s="98"/>
      <c r="J298" s="51"/>
      <c r="K298" s="52"/>
      <c r="L298" s="53"/>
      <c r="M298" s="54"/>
      <c r="N298" s="55"/>
      <c r="O298" s="56"/>
      <c r="P298" s="56"/>
      <c r="Q298" s="56"/>
      <c r="R298" s="57"/>
      <c r="S298" s="57"/>
      <c r="T298" s="57"/>
      <c r="U298" s="59"/>
      <c r="V298" s="42">
        <f t="shared" si="15"/>
        <v>0</v>
      </c>
      <c r="W298" s="60">
        <f t="shared" si="13"/>
        <v>0</v>
      </c>
      <c r="X298" s="44">
        <f t="shared" si="14"/>
        <v>0</v>
      </c>
    </row>
    <row r="299" spans="1:24" ht="15" x14ac:dyDescent="0.2">
      <c r="A299" s="62"/>
      <c r="B299" s="47"/>
      <c r="C299" s="47"/>
      <c r="D299" s="47"/>
      <c r="E299" s="47"/>
      <c r="F299" s="48"/>
      <c r="G299" s="47"/>
      <c r="H299" s="47"/>
      <c r="I299" s="98"/>
      <c r="J299" s="51"/>
      <c r="K299" s="52"/>
      <c r="L299" s="53"/>
      <c r="M299" s="54"/>
      <c r="N299" s="55"/>
      <c r="O299" s="56"/>
      <c r="P299" s="56"/>
      <c r="Q299" s="56"/>
      <c r="R299" s="57"/>
      <c r="S299" s="57"/>
      <c r="T299" s="57"/>
      <c r="U299" s="59"/>
      <c r="V299" s="42">
        <f t="shared" si="15"/>
        <v>0</v>
      </c>
      <c r="W299" s="60">
        <f t="shared" si="13"/>
        <v>0</v>
      </c>
      <c r="X299" s="44">
        <f t="shared" si="14"/>
        <v>0</v>
      </c>
    </row>
    <row r="300" spans="1:24" ht="15.75" thickBot="1" x14ac:dyDescent="0.25">
      <c r="A300" s="100"/>
      <c r="B300" s="101"/>
      <c r="C300" s="101"/>
      <c r="D300" s="101"/>
      <c r="E300" s="101"/>
      <c r="F300" s="102"/>
      <c r="G300" s="101"/>
      <c r="H300" s="101"/>
      <c r="I300" s="103"/>
      <c r="J300" s="104"/>
      <c r="K300" s="105"/>
      <c r="L300" s="106"/>
      <c r="M300" s="107"/>
      <c r="N300" s="108"/>
      <c r="O300" s="109"/>
      <c r="P300" s="109"/>
      <c r="Q300" s="109"/>
      <c r="R300" s="110"/>
      <c r="S300" s="110"/>
      <c r="T300" s="110"/>
      <c r="U300" s="111"/>
      <c r="V300" s="112">
        <f t="shared" si="15"/>
        <v>0</v>
      </c>
      <c r="W300" s="113">
        <f t="shared" si="13"/>
        <v>0</v>
      </c>
      <c r="X300" s="114">
        <f t="shared" si="14"/>
        <v>0</v>
      </c>
    </row>
    <row r="301" spans="1:24" x14ac:dyDescent="0.2">
      <c r="N301" s="120"/>
      <c r="O301" s="121"/>
      <c r="P301" s="121"/>
      <c r="Q301" s="121"/>
      <c r="R301" s="120"/>
      <c r="S301" s="120"/>
      <c r="T301" s="120"/>
      <c r="U301" s="120"/>
      <c r="X301" s="92"/>
    </row>
    <row r="302" spans="1:24" x14ac:dyDescent="0.2">
      <c r="N302" s="120"/>
      <c r="O302" s="121"/>
      <c r="P302" s="121"/>
      <c r="Q302" s="121"/>
      <c r="R302" s="120"/>
      <c r="S302" s="120"/>
      <c r="T302" s="120"/>
      <c r="U302" s="120"/>
      <c r="X302" s="92"/>
    </row>
    <row r="303" spans="1:24" x14ac:dyDescent="0.2">
      <c r="N303" s="120"/>
      <c r="O303" s="121"/>
      <c r="P303" s="121"/>
      <c r="Q303" s="121"/>
      <c r="R303" s="120"/>
      <c r="S303" s="120"/>
      <c r="T303" s="120"/>
      <c r="U303" s="120"/>
      <c r="X303" s="92"/>
    </row>
    <row r="304" spans="1:24" x14ac:dyDescent="0.2">
      <c r="N304" s="120"/>
      <c r="O304" s="121"/>
      <c r="P304" s="121"/>
      <c r="Q304" s="121"/>
      <c r="R304" s="120"/>
      <c r="S304" s="120"/>
      <c r="T304" s="120"/>
      <c r="U304" s="120"/>
      <c r="X304" s="92"/>
    </row>
    <row r="305" spans="14:24" x14ac:dyDescent="0.2">
      <c r="N305" s="120"/>
      <c r="O305" s="121"/>
      <c r="P305" s="121"/>
      <c r="Q305" s="121"/>
      <c r="R305" s="120"/>
      <c r="S305" s="120"/>
      <c r="T305" s="120"/>
      <c r="U305" s="120"/>
      <c r="X305" s="92"/>
    </row>
    <row r="306" spans="14:24" x14ac:dyDescent="0.2">
      <c r="N306" s="120"/>
      <c r="O306" s="121"/>
      <c r="P306" s="121"/>
      <c r="Q306" s="121"/>
      <c r="R306" s="120"/>
      <c r="S306" s="120"/>
      <c r="T306" s="120"/>
      <c r="U306" s="120"/>
      <c r="X306" s="92"/>
    </row>
    <row r="307" spans="14:24" x14ac:dyDescent="0.2">
      <c r="N307" s="120"/>
      <c r="O307" s="121"/>
      <c r="P307" s="121"/>
      <c r="Q307" s="121"/>
      <c r="R307" s="120"/>
      <c r="S307" s="120"/>
      <c r="T307" s="120"/>
      <c r="U307" s="120"/>
      <c r="X307" s="92"/>
    </row>
    <row r="308" spans="14:24" x14ac:dyDescent="0.2">
      <c r="N308" s="120"/>
      <c r="O308" s="121"/>
      <c r="P308" s="121"/>
      <c r="Q308" s="121"/>
      <c r="R308" s="120"/>
      <c r="S308" s="120"/>
      <c r="T308" s="120"/>
      <c r="U308" s="120"/>
      <c r="X308" s="92"/>
    </row>
    <row r="309" spans="14:24" x14ac:dyDescent="0.2">
      <c r="N309" s="120"/>
      <c r="O309" s="121"/>
      <c r="P309" s="121"/>
      <c r="Q309" s="121"/>
      <c r="R309" s="120"/>
      <c r="S309" s="120"/>
      <c r="T309" s="120"/>
      <c r="U309" s="120"/>
      <c r="X309" s="92"/>
    </row>
    <row r="310" spans="14:24" x14ac:dyDescent="0.2">
      <c r="N310" s="120"/>
      <c r="O310" s="121"/>
      <c r="P310" s="121"/>
      <c r="Q310" s="121"/>
      <c r="R310" s="120"/>
      <c r="S310" s="120"/>
      <c r="T310" s="120"/>
      <c r="U310" s="120"/>
      <c r="X310" s="92"/>
    </row>
    <row r="311" spans="14:24" x14ac:dyDescent="0.2">
      <c r="N311" s="120"/>
      <c r="O311" s="121"/>
      <c r="P311" s="121"/>
      <c r="Q311" s="121"/>
      <c r="R311" s="120"/>
      <c r="S311" s="120"/>
      <c r="T311" s="120"/>
      <c r="U311" s="120"/>
      <c r="X311" s="92"/>
    </row>
    <row r="312" spans="14:24" x14ac:dyDescent="0.2">
      <c r="N312" s="120"/>
      <c r="O312" s="121"/>
      <c r="P312" s="121"/>
      <c r="Q312" s="121"/>
      <c r="R312" s="120"/>
      <c r="S312" s="120"/>
      <c r="T312" s="120"/>
      <c r="U312" s="120"/>
      <c r="X312" s="92"/>
    </row>
    <row r="313" spans="14:24" x14ac:dyDescent="0.2">
      <c r="N313" s="120"/>
      <c r="O313" s="121"/>
      <c r="P313" s="121"/>
      <c r="Q313" s="121"/>
      <c r="R313" s="120"/>
      <c r="S313" s="120"/>
      <c r="T313" s="120"/>
      <c r="U313" s="120"/>
      <c r="X313" s="92"/>
    </row>
    <row r="314" spans="14:24" x14ac:dyDescent="0.2">
      <c r="N314" s="120"/>
      <c r="O314" s="121"/>
      <c r="P314" s="121"/>
      <c r="Q314" s="121"/>
      <c r="R314" s="120"/>
      <c r="S314" s="120"/>
      <c r="T314" s="120"/>
      <c r="U314" s="120"/>
      <c r="X314" s="92"/>
    </row>
    <row r="315" spans="14:24" x14ac:dyDescent="0.2">
      <c r="N315" s="120"/>
      <c r="O315" s="121"/>
      <c r="P315" s="121"/>
      <c r="Q315" s="121"/>
      <c r="R315" s="120"/>
      <c r="S315" s="120"/>
      <c r="T315" s="120"/>
      <c r="U315" s="120"/>
      <c r="X315" s="92"/>
    </row>
    <row r="316" spans="14:24" x14ac:dyDescent="0.2">
      <c r="N316" s="120"/>
      <c r="O316" s="121"/>
      <c r="P316" s="121"/>
      <c r="Q316" s="121"/>
      <c r="R316" s="120"/>
      <c r="S316" s="120"/>
      <c r="T316" s="120"/>
      <c r="U316" s="120"/>
      <c r="X316" s="92"/>
    </row>
    <row r="317" spans="14:24" x14ac:dyDescent="0.2">
      <c r="N317" s="120"/>
      <c r="O317" s="121"/>
      <c r="P317" s="121"/>
      <c r="Q317" s="121"/>
      <c r="R317" s="120"/>
      <c r="S317" s="120"/>
      <c r="T317" s="120"/>
      <c r="U317" s="120"/>
      <c r="X317" s="92"/>
    </row>
    <row r="318" spans="14:24" x14ac:dyDescent="0.2">
      <c r="N318" s="120"/>
      <c r="O318" s="121"/>
      <c r="P318" s="121"/>
      <c r="Q318" s="121"/>
      <c r="R318" s="120"/>
      <c r="S318" s="120"/>
      <c r="T318" s="120"/>
      <c r="U318" s="120"/>
      <c r="X318" s="92"/>
    </row>
    <row r="319" spans="14:24" x14ac:dyDescent="0.2">
      <c r="N319" s="120"/>
      <c r="O319" s="121"/>
      <c r="P319" s="121"/>
      <c r="Q319" s="121"/>
      <c r="R319" s="120"/>
      <c r="S319" s="120"/>
      <c r="T319" s="120"/>
      <c r="U319" s="120"/>
      <c r="X319" s="92"/>
    </row>
    <row r="320" spans="14:24" x14ac:dyDescent="0.2">
      <c r="N320" s="120"/>
      <c r="O320" s="121"/>
      <c r="P320" s="121"/>
      <c r="Q320" s="121"/>
      <c r="R320" s="120"/>
      <c r="S320" s="120"/>
      <c r="T320" s="120"/>
      <c r="U320" s="120"/>
      <c r="X320" s="92"/>
    </row>
    <row r="321" spans="14:24" x14ac:dyDescent="0.2">
      <c r="N321" s="120"/>
      <c r="O321" s="121"/>
      <c r="P321" s="121"/>
      <c r="Q321" s="121"/>
      <c r="R321" s="120"/>
      <c r="S321" s="120"/>
      <c r="T321" s="120"/>
      <c r="U321" s="120"/>
      <c r="X321" s="92"/>
    </row>
    <row r="322" spans="14:24" x14ac:dyDescent="0.2">
      <c r="N322" s="120"/>
      <c r="O322" s="121"/>
      <c r="P322" s="121"/>
      <c r="Q322" s="121"/>
      <c r="R322" s="120"/>
      <c r="S322" s="120"/>
      <c r="T322" s="120"/>
      <c r="U322" s="120"/>
      <c r="X322" s="92"/>
    </row>
    <row r="323" spans="14:24" x14ac:dyDescent="0.2">
      <c r="N323" s="120"/>
      <c r="O323" s="121"/>
      <c r="P323" s="121"/>
      <c r="Q323" s="121"/>
      <c r="R323" s="120"/>
      <c r="S323" s="120"/>
      <c r="T323" s="120"/>
      <c r="U323" s="120"/>
      <c r="X323" s="92"/>
    </row>
    <row r="324" spans="14:24" x14ac:dyDescent="0.2">
      <c r="N324" s="120"/>
      <c r="O324" s="121"/>
      <c r="P324" s="121"/>
      <c r="Q324" s="121"/>
      <c r="R324" s="120"/>
      <c r="S324" s="120"/>
      <c r="T324" s="120"/>
      <c r="U324" s="120"/>
      <c r="X324" s="92"/>
    </row>
    <row r="325" spans="14:24" x14ac:dyDescent="0.2">
      <c r="N325" s="120"/>
      <c r="O325" s="121"/>
      <c r="P325" s="121"/>
      <c r="Q325" s="121"/>
      <c r="R325" s="120"/>
      <c r="S325" s="120"/>
      <c r="T325" s="120"/>
      <c r="U325" s="120"/>
      <c r="X325" s="92"/>
    </row>
    <row r="326" spans="14:24" x14ac:dyDescent="0.2">
      <c r="N326" s="120"/>
      <c r="O326" s="121"/>
      <c r="P326" s="121"/>
      <c r="Q326" s="121"/>
      <c r="R326" s="120"/>
      <c r="S326" s="120"/>
      <c r="T326" s="120"/>
      <c r="U326" s="120"/>
      <c r="X326" s="92"/>
    </row>
    <row r="327" spans="14:24" x14ac:dyDescent="0.2">
      <c r="N327" s="120"/>
      <c r="O327" s="121"/>
      <c r="P327" s="121"/>
      <c r="Q327" s="121"/>
      <c r="R327" s="120"/>
      <c r="S327" s="120"/>
      <c r="T327" s="120"/>
      <c r="U327" s="120"/>
      <c r="X327" s="92"/>
    </row>
    <row r="328" spans="14:24" x14ac:dyDescent="0.2">
      <c r="N328" s="120"/>
      <c r="O328" s="121"/>
      <c r="P328" s="121"/>
      <c r="Q328" s="121"/>
      <c r="R328" s="120"/>
      <c r="S328" s="120"/>
      <c r="T328" s="120"/>
      <c r="U328" s="120"/>
      <c r="X328" s="92"/>
    </row>
    <row r="329" spans="14:24" x14ac:dyDescent="0.2">
      <c r="N329" s="120"/>
      <c r="O329" s="121"/>
      <c r="P329" s="121"/>
      <c r="Q329" s="121"/>
      <c r="R329" s="120"/>
      <c r="S329" s="120"/>
      <c r="T329" s="120"/>
      <c r="U329" s="120"/>
      <c r="X329" s="92"/>
    </row>
    <row r="330" spans="14:24" x14ac:dyDescent="0.2">
      <c r="N330" s="120"/>
      <c r="O330" s="121"/>
      <c r="P330" s="121"/>
      <c r="Q330" s="121"/>
      <c r="R330" s="120"/>
      <c r="S330" s="120"/>
      <c r="T330" s="120"/>
      <c r="U330" s="120"/>
      <c r="X330" s="92"/>
    </row>
    <row r="331" spans="14:24" x14ac:dyDescent="0.2">
      <c r="N331" s="120"/>
      <c r="O331" s="121"/>
      <c r="P331" s="121"/>
      <c r="Q331" s="121"/>
      <c r="R331" s="120"/>
      <c r="S331" s="120"/>
      <c r="T331" s="120"/>
      <c r="U331" s="120"/>
      <c r="X331" s="92"/>
    </row>
    <row r="332" spans="14:24" x14ac:dyDescent="0.2">
      <c r="N332" s="120"/>
      <c r="O332" s="121"/>
      <c r="P332" s="121"/>
      <c r="Q332" s="121"/>
      <c r="R332" s="120"/>
      <c r="S332" s="120"/>
      <c r="T332" s="120"/>
      <c r="U332" s="120"/>
      <c r="X332" s="92"/>
    </row>
    <row r="333" spans="14:24" x14ac:dyDescent="0.2">
      <c r="N333" s="120"/>
      <c r="O333" s="121"/>
      <c r="P333" s="121"/>
      <c r="Q333" s="121"/>
      <c r="R333" s="120"/>
      <c r="S333" s="120"/>
      <c r="T333" s="120"/>
      <c r="U333" s="120"/>
      <c r="X333" s="92"/>
    </row>
    <row r="334" spans="14:24" x14ac:dyDescent="0.2">
      <c r="N334" s="120"/>
      <c r="O334" s="121"/>
      <c r="P334" s="121"/>
      <c r="Q334" s="121"/>
      <c r="R334" s="120"/>
      <c r="S334" s="120"/>
      <c r="T334" s="120"/>
      <c r="U334" s="120"/>
      <c r="X334" s="92"/>
    </row>
    <row r="335" spans="14:24" x14ac:dyDescent="0.2">
      <c r="N335" s="120"/>
      <c r="O335" s="121"/>
      <c r="P335" s="121"/>
      <c r="Q335" s="121"/>
      <c r="R335" s="120"/>
      <c r="S335" s="120"/>
      <c r="T335" s="120"/>
      <c r="U335" s="120"/>
      <c r="X335" s="92"/>
    </row>
    <row r="336" spans="14:24" x14ac:dyDescent="0.2">
      <c r="N336" s="120"/>
      <c r="O336" s="121"/>
      <c r="P336" s="121"/>
      <c r="Q336" s="121"/>
      <c r="R336" s="120"/>
      <c r="S336" s="120"/>
      <c r="T336" s="120"/>
      <c r="U336" s="120"/>
      <c r="X336" s="92"/>
    </row>
    <row r="337" spans="14:24" x14ac:dyDescent="0.2">
      <c r="N337" s="120"/>
      <c r="O337" s="121"/>
      <c r="P337" s="121"/>
      <c r="Q337" s="121"/>
      <c r="R337" s="120"/>
      <c r="S337" s="120"/>
      <c r="T337" s="120"/>
      <c r="U337" s="120"/>
      <c r="X337" s="92"/>
    </row>
    <row r="338" spans="14:24" x14ac:dyDescent="0.2">
      <c r="N338" s="120"/>
      <c r="O338" s="121"/>
      <c r="P338" s="121"/>
      <c r="Q338" s="121"/>
      <c r="R338" s="120"/>
      <c r="S338" s="120"/>
      <c r="T338" s="120"/>
      <c r="U338" s="120"/>
      <c r="X338" s="92"/>
    </row>
    <row r="339" spans="14:24" x14ac:dyDescent="0.2">
      <c r="N339" s="120"/>
      <c r="O339" s="121"/>
      <c r="P339" s="121"/>
      <c r="Q339" s="121"/>
      <c r="R339" s="120"/>
      <c r="S339" s="120"/>
      <c r="T339" s="120"/>
      <c r="U339" s="120"/>
      <c r="X339" s="92"/>
    </row>
    <row r="340" spans="14:24" x14ac:dyDescent="0.2">
      <c r="N340" s="120"/>
      <c r="O340" s="121"/>
      <c r="P340" s="121"/>
      <c r="Q340" s="121"/>
      <c r="R340" s="120"/>
      <c r="S340" s="120"/>
      <c r="T340" s="120"/>
      <c r="U340" s="120"/>
      <c r="X340" s="92"/>
    </row>
    <row r="341" spans="14:24" x14ac:dyDescent="0.2">
      <c r="N341" s="120"/>
      <c r="O341" s="121"/>
      <c r="P341" s="121"/>
      <c r="Q341" s="121"/>
      <c r="R341" s="120"/>
      <c r="S341" s="120"/>
      <c r="T341" s="120"/>
      <c r="U341" s="120"/>
      <c r="X341" s="92"/>
    </row>
    <row r="342" spans="14:24" x14ac:dyDescent="0.2">
      <c r="N342" s="120"/>
      <c r="O342" s="121"/>
      <c r="P342" s="121"/>
      <c r="Q342" s="121"/>
      <c r="R342" s="120"/>
      <c r="S342" s="120"/>
      <c r="T342" s="120"/>
      <c r="U342" s="120"/>
      <c r="X342" s="92"/>
    </row>
    <row r="343" spans="14:24" x14ac:dyDescent="0.2">
      <c r="N343" s="120"/>
      <c r="O343" s="121"/>
      <c r="P343" s="121"/>
      <c r="Q343" s="121"/>
      <c r="R343" s="120"/>
      <c r="S343" s="120"/>
      <c r="T343" s="120"/>
      <c r="U343" s="120"/>
      <c r="X343" s="92"/>
    </row>
    <row r="344" spans="14:24" x14ac:dyDescent="0.2">
      <c r="N344" s="120"/>
      <c r="O344" s="121"/>
      <c r="P344" s="121"/>
      <c r="Q344" s="121"/>
      <c r="R344" s="120"/>
      <c r="S344" s="120"/>
      <c r="T344" s="120"/>
      <c r="U344" s="120"/>
      <c r="X344" s="92"/>
    </row>
    <row r="345" spans="14:24" x14ac:dyDescent="0.2">
      <c r="N345" s="120"/>
      <c r="O345" s="121"/>
      <c r="P345" s="121"/>
      <c r="Q345" s="121"/>
      <c r="R345" s="120"/>
      <c r="S345" s="120"/>
      <c r="T345" s="120"/>
      <c r="U345" s="120"/>
      <c r="X345" s="92"/>
    </row>
    <row r="346" spans="14:24" x14ac:dyDescent="0.2">
      <c r="N346" s="120"/>
      <c r="O346" s="121"/>
      <c r="P346" s="121"/>
      <c r="Q346" s="121"/>
      <c r="R346" s="120"/>
      <c r="S346" s="120"/>
      <c r="T346" s="120"/>
      <c r="U346" s="120"/>
      <c r="X346" s="92"/>
    </row>
    <row r="347" spans="14:24" x14ac:dyDescent="0.2">
      <c r="N347" s="120"/>
      <c r="O347" s="121"/>
      <c r="P347" s="121"/>
      <c r="Q347" s="121"/>
      <c r="R347" s="120"/>
      <c r="S347" s="120"/>
      <c r="T347" s="120"/>
      <c r="U347" s="120"/>
      <c r="X347" s="92"/>
    </row>
    <row r="348" spans="14:24" x14ac:dyDescent="0.2">
      <c r="N348" s="120"/>
      <c r="O348" s="121"/>
      <c r="P348" s="121"/>
      <c r="Q348" s="121"/>
      <c r="R348" s="120"/>
      <c r="S348" s="120"/>
      <c r="T348" s="120"/>
      <c r="U348" s="120"/>
      <c r="X348" s="92"/>
    </row>
    <row r="349" spans="14:24" x14ac:dyDescent="0.2">
      <c r="N349" s="120"/>
      <c r="O349" s="121"/>
      <c r="P349" s="121"/>
      <c r="Q349" s="121"/>
      <c r="R349" s="120"/>
      <c r="S349" s="120"/>
      <c r="T349" s="120"/>
      <c r="U349" s="120"/>
      <c r="X349" s="92"/>
    </row>
    <row r="350" spans="14:24" x14ac:dyDescent="0.2">
      <c r="N350" s="120"/>
      <c r="O350" s="121"/>
      <c r="P350" s="121"/>
      <c r="Q350" s="121"/>
      <c r="R350" s="120"/>
      <c r="S350" s="120"/>
      <c r="T350" s="120"/>
      <c r="U350" s="120"/>
      <c r="X350" s="92"/>
    </row>
    <row r="351" spans="14:24" x14ac:dyDescent="0.2">
      <c r="N351" s="120"/>
      <c r="O351" s="121"/>
      <c r="P351" s="121"/>
      <c r="Q351" s="121"/>
      <c r="R351" s="120"/>
      <c r="S351" s="120"/>
      <c r="T351" s="120"/>
      <c r="U351" s="120"/>
      <c r="X351" s="92"/>
    </row>
    <row r="352" spans="14:24" x14ac:dyDescent="0.2">
      <c r="N352" s="120"/>
      <c r="O352" s="121"/>
      <c r="P352" s="121"/>
      <c r="Q352" s="121"/>
      <c r="R352" s="120"/>
      <c r="S352" s="120"/>
      <c r="T352" s="120"/>
      <c r="U352" s="120"/>
      <c r="X352" s="92"/>
    </row>
    <row r="353" spans="14:24" x14ac:dyDescent="0.2">
      <c r="N353" s="120"/>
      <c r="O353" s="121"/>
      <c r="P353" s="121"/>
      <c r="Q353" s="121"/>
      <c r="R353" s="120"/>
      <c r="S353" s="120"/>
      <c r="T353" s="120"/>
      <c r="U353" s="120"/>
      <c r="X353" s="92"/>
    </row>
    <row r="354" spans="14:24" x14ac:dyDescent="0.2">
      <c r="N354" s="120"/>
      <c r="O354" s="121"/>
      <c r="P354" s="121"/>
      <c r="Q354" s="121"/>
      <c r="R354" s="120"/>
      <c r="S354" s="120"/>
      <c r="T354" s="120"/>
      <c r="U354" s="120"/>
      <c r="X354" s="92"/>
    </row>
    <row r="355" spans="14:24" x14ac:dyDescent="0.2">
      <c r="N355" s="120"/>
      <c r="O355" s="121"/>
      <c r="P355" s="121"/>
      <c r="Q355" s="121"/>
      <c r="R355" s="120"/>
      <c r="S355" s="120"/>
      <c r="T355" s="120"/>
      <c r="U355" s="120"/>
      <c r="X355" s="92"/>
    </row>
    <row r="356" spans="14:24" x14ac:dyDescent="0.2">
      <c r="N356" s="120"/>
      <c r="O356" s="121"/>
      <c r="P356" s="121"/>
      <c r="Q356" s="121"/>
      <c r="R356" s="120"/>
      <c r="S356" s="120"/>
      <c r="T356" s="120"/>
      <c r="U356" s="120"/>
      <c r="X356" s="92"/>
    </row>
    <row r="357" spans="14:24" x14ac:dyDescent="0.2">
      <c r="N357" s="120"/>
      <c r="O357" s="121"/>
      <c r="P357" s="121"/>
      <c r="Q357" s="121"/>
      <c r="R357" s="120"/>
      <c r="S357" s="120"/>
      <c r="T357" s="120"/>
      <c r="U357" s="120"/>
      <c r="X357" s="92"/>
    </row>
    <row r="358" spans="14:24" x14ac:dyDescent="0.2">
      <c r="N358" s="120"/>
      <c r="O358" s="121"/>
      <c r="P358" s="121"/>
      <c r="Q358" s="121"/>
      <c r="R358" s="120"/>
      <c r="S358" s="120"/>
      <c r="T358" s="120"/>
      <c r="U358" s="120"/>
      <c r="X358" s="92"/>
    </row>
    <row r="359" spans="14:24" x14ac:dyDescent="0.2">
      <c r="N359" s="120"/>
      <c r="O359" s="121"/>
      <c r="P359" s="121"/>
      <c r="Q359" s="121"/>
      <c r="R359" s="120"/>
      <c r="S359" s="120"/>
      <c r="T359" s="120"/>
      <c r="U359" s="120"/>
      <c r="X359" s="92"/>
    </row>
    <row r="360" spans="14:24" x14ac:dyDescent="0.2">
      <c r="N360" s="120"/>
      <c r="O360" s="121"/>
      <c r="P360" s="121"/>
      <c r="Q360" s="121"/>
      <c r="R360" s="120"/>
      <c r="S360" s="120"/>
      <c r="T360" s="120"/>
      <c r="U360" s="120"/>
      <c r="X360" s="92"/>
    </row>
    <row r="361" spans="14:24" x14ac:dyDescent="0.2">
      <c r="N361" s="120"/>
      <c r="O361" s="121"/>
      <c r="P361" s="121"/>
      <c r="Q361" s="121"/>
      <c r="R361" s="120"/>
      <c r="S361" s="120"/>
      <c r="T361" s="120"/>
      <c r="U361" s="120"/>
      <c r="X361" s="92"/>
    </row>
    <row r="362" spans="14:24" x14ac:dyDescent="0.2">
      <c r="N362" s="120"/>
      <c r="O362" s="121"/>
      <c r="P362" s="121"/>
      <c r="Q362" s="121"/>
      <c r="R362" s="120"/>
      <c r="S362" s="120"/>
      <c r="T362" s="120"/>
      <c r="U362" s="120"/>
      <c r="X362" s="92"/>
    </row>
    <row r="363" spans="14:24" x14ac:dyDescent="0.2">
      <c r="N363" s="120"/>
      <c r="O363" s="121"/>
      <c r="P363" s="121"/>
      <c r="Q363" s="121"/>
      <c r="R363" s="120"/>
      <c r="S363" s="120"/>
      <c r="T363" s="120"/>
      <c r="U363" s="120"/>
      <c r="X363" s="92"/>
    </row>
    <row r="364" spans="14:24" x14ac:dyDescent="0.2">
      <c r="N364" s="120"/>
      <c r="O364" s="121"/>
      <c r="P364" s="121"/>
      <c r="Q364" s="121"/>
      <c r="R364" s="120"/>
      <c r="S364" s="120"/>
      <c r="T364" s="120"/>
      <c r="U364" s="120"/>
      <c r="X364" s="92"/>
    </row>
    <row r="365" spans="14:24" x14ac:dyDescent="0.2">
      <c r="N365" s="120"/>
      <c r="O365" s="121"/>
      <c r="P365" s="121"/>
      <c r="Q365" s="121"/>
      <c r="R365" s="120"/>
      <c r="S365" s="120"/>
      <c r="T365" s="120"/>
      <c r="U365" s="120"/>
      <c r="X365" s="92"/>
    </row>
    <row r="366" spans="14:24" x14ac:dyDescent="0.2">
      <c r="N366" s="120"/>
      <c r="O366" s="121"/>
      <c r="P366" s="121"/>
      <c r="Q366" s="121"/>
      <c r="R366" s="120"/>
      <c r="S366" s="120"/>
      <c r="T366" s="120"/>
      <c r="U366" s="120"/>
      <c r="X366" s="92"/>
    </row>
    <row r="367" spans="14:24" x14ac:dyDescent="0.2">
      <c r="N367" s="120"/>
      <c r="O367" s="121"/>
      <c r="P367" s="121"/>
      <c r="Q367" s="121"/>
      <c r="R367" s="120"/>
      <c r="S367" s="120"/>
      <c r="T367" s="120"/>
      <c r="U367" s="120"/>
      <c r="X367" s="92"/>
    </row>
    <row r="368" spans="14:24" x14ac:dyDescent="0.2">
      <c r="N368" s="120"/>
      <c r="O368" s="121"/>
      <c r="P368" s="121"/>
      <c r="Q368" s="121"/>
      <c r="R368" s="120"/>
      <c r="S368" s="120"/>
      <c r="T368" s="120"/>
      <c r="U368" s="120"/>
      <c r="X368" s="92"/>
    </row>
    <row r="369" spans="14:24" x14ac:dyDescent="0.2">
      <c r="N369" s="120"/>
      <c r="O369" s="121"/>
      <c r="P369" s="121"/>
      <c r="Q369" s="121"/>
      <c r="R369" s="120"/>
      <c r="S369" s="120"/>
      <c r="T369" s="120"/>
      <c r="U369" s="120"/>
      <c r="X369" s="92"/>
    </row>
    <row r="370" spans="14:24" x14ac:dyDescent="0.2">
      <c r="N370" s="120"/>
      <c r="O370" s="121"/>
      <c r="P370" s="121"/>
      <c r="Q370" s="121"/>
      <c r="R370" s="120"/>
      <c r="S370" s="120"/>
      <c r="T370" s="120"/>
      <c r="U370" s="120"/>
      <c r="X370" s="92"/>
    </row>
    <row r="371" spans="14:24" x14ac:dyDescent="0.2">
      <c r="N371" s="120"/>
      <c r="O371" s="121"/>
      <c r="P371" s="121"/>
      <c r="Q371" s="121"/>
      <c r="R371" s="120"/>
      <c r="S371" s="120"/>
      <c r="T371" s="120"/>
      <c r="U371" s="120"/>
      <c r="X371" s="92"/>
    </row>
    <row r="372" spans="14:24" x14ac:dyDescent="0.2">
      <c r="N372" s="120"/>
      <c r="O372" s="121"/>
      <c r="P372" s="121"/>
      <c r="Q372" s="121"/>
      <c r="R372" s="120"/>
      <c r="S372" s="120"/>
      <c r="T372" s="120"/>
      <c r="U372" s="120"/>
      <c r="X372" s="92"/>
    </row>
    <row r="373" spans="14:24" x14ac:dyDescent="0.2">
      <c r="N373" s="120"/>
      <c r="O373" s="121"/>
      <c r="P373" s="121"/>
      <c r="Q373" s="121"/>
      <c r="R373" s="120"/>
      <c r="S373" s="120"/>
      <c r="T373" s="120"/>
      <c r="U373" s="120"/>
      <c r="X373" s="92"/>
    </row>
    <row r="374" spans="14:24" x14ac:dyDescent="0.2">
      <c r="N374" s="120"/>
      <c r="O374" s="121"/>
      <c r="P374" s="121"/>
      <c r="Q374" s="121"/>
      <c r="R374" s="120"/>
      <c r="S374" s="120"/>
      <c r="T374" s="120"/>
      <c r="U374" s="120"/>
      <c r="X374" s="92"/>
    </row>
    <row r="375" spans="14:24" x14ac:dyDescent="0.2">
      <c r="N375" s="120"/>
      <c r="O375" s="121"/>
      <c r="P375" s="121"/>
      <c r="Q375" s="121"/>
      <c r="R375" s="120"/>
      <c r="S375" s="120"/>
      <c r="T375" s="120"/>
      <c r="U375" s="120"/>
      <c r="X375" s="92"/>
    </row>
    <row r="376" spans="14:24" x14ac:dyDescent="0.2">
      <c r="N376" s="120"/>
      <c r="O376" s="121"/>
      <c r="P376" s="121"/>
      <c r="Q376" s="121"/>
      <c r="R376" s="120"/>
      <c r="S376" s="120"/>
      <c r="T376" s="120"/>
      <c r="U376" s="120"/>
      <c r="X376" s="92"/>
    </row>
    <row r="377" spans="14:24" x14ac:dyDescent="0.2">
      <c r="N377" s="120"/>
      <c r="O377" s="121"/>
      <c r="P377" s="121"/>
      <c r="Q377" s="121"/>
      <c r="R377" s="120"/>
      <c r="S377" s="120"/>
      <c r="T377" s="120"/>
      <c r="U377" s="120"/>
      <c r="X377" s="92"/>
    </row>
    <row r="378" spans="14:24" x14ac:dyDescent="0.2">
      <c r="N378" s="120"/>
      <c r="O378" s="121"/>
      <c r="P378" s="121"/>
      <c r="Q378" s="121"/>
      <c r="R378" s="120"/>
      <c r="S378" s="120"/>
      <c r="T378" s="120"/>
      <c r="U378" s="120"/>
      <c r="X378" s="92"/>
    </row>
    <row r="379" spans="14:24" x14ac:dyDescent="0.2">
      <c r="N379" s="120"/>
      <c r="O379" s="121"/>
      <c r="P379" s="121"/>
      <c r="Q379" s="121"/>
      <c r="R379" s="120"/>
      <c r="S379" s="120"/>
      <c r="T379" s="120"/>
      <c r="U379" s="120"/>
      <c r="X379" s="92"/>
    </row>
    <row r="380" spans="14:24" x14ac:dyDescent="0.2">
      <c r="N380" s="120"/>
      <c r="O380" s="121"/>
      <c r="P380" s="121"/>
      <c r="Q380" s="121"/>
      <c r="R380" s="120"/>
      <c r="S380" s="120"/>
      <c r="T380" s="120"/>
      <c r="U380" s="120"/>
      <c r="X380" s="92"/>
    </row>
    <row r="381" spans="14:24" x14ac:dyDescent="0.2">
      <c r="N381" s="120"/>
      <c r="O381" s="121"/>
      <c r="P381" s="121"/>
      <c r="Q381" s="121"/>
      <c r="R381" s="120"/>
      <c r="S381" s="120"/>
      <c r="T381" s="120"/>
      <c r="U381" s="120"/>
      <c r="X381" s="92"/>
    </row>
    <row r="382" spans="14:24" x14ac:dyDescent="0.2">
      <c r="N382" s="120"/>
      <c r="O382" s="121"/>
      <c r="P382" s="121"/>
      <c r="Q382" s="121"/>
      <c r="R382" s="120"/>
      <c r="S382" s="120"/>
      <c r="T382" s="120"/>
      <c r="U382" s="120"/>
      <c r="X382" s="92"/>
    </row>
    <row r="383" spans="14:24" x14ac:dyDescent="0.2">
      <c r="N383" s="120"/>
      <c r="O383" s="121"/>
      <c r="P383" s="121"/>
      <c r="Q383" s="121"/>
      <c r="R383" s="120"/>
      <c r="S383" s="120"/>
      <c r="T383" s="120"/>
      <c r="U383" s="120"/>
      <c r="X383" s="92"/>
    </row>
    <row r="384" spans="14:24" x14ac:dyDescent="0.2">
      <c r="N384" s="120"/>
      <c r="O384" s="121"/>
      <c r="P384" s="121"/>
      <c r="Q384" s="121"/>
      <c r="R384" s="120"/>
      <c r="S384" s="120"/>
      <c r="T384" s="120"/>
      <c r="U384" s="120"/>
      <c r="X384" s="92"/>
    </row>
    <row r="385" spans="14:24" x14ac:dyDescent="0.2">
      <c r="N385" s="120"/>
      <c r="O385" s="121"/>
      <c r="P385" s="121"/>
      <c r="Q385" s="121"/>
      <c r="R385" s="120"/>
      <c r="S385" s="120"/>
      <c r="T385" s="120"/>
      <c r="U385" s="120"/>
      <c r="X385" s="92"/>
    </row>
    <row r="386" spans="14:24" x14ac:dyDescent="0.2">
      <c r="N386" s="120"/>
      <c r="O386" s="121"/>
      <c r="P386" s="121"/>
      <c r="Q386" s="121"/>
      <c r="R386" s="120"/>
      <c r="S386" s="120"/>
      <c r="T386" s="120"/>
      <c r="U386" s="120"/>
      <c r="X386" s="92"/>
    </row>
    <row r="387" spans="14:24" x14ac:dyDescent="0.2">
      <c r="N387" s="120"/>
      <c r="O387" s="121"/>
      <c r="P387" s="121"/>
      <c r="Q387" s="121"/>
      <c r="R387" s="120"/>
      <c r="S387" s="120"/>
      <c r="T387" s="120"/>
      <c r="U387" s="120"/>
      <c r="X387" s="92"/>
    </row>
    <row r="388" spans="14:24" x14ac:dyDescent="0.2">
      <c r="N388" s="120"/>
      <c r="O388" s="121"/>
      <c r="P388" s="121"/>
      <c r="Q388" s="121"/>
      <c r="R388" s="120"/>
      <c r="S388" s="120"/>
      <c r="T388" s="120"/>
      <c r="U388" s="120"/>
      <c r="X388" s="92"/>
    </row>
    <row r="389" spans="14:24" x14ac:dyDescent="0.2">
      <c r="N389" s="120"/>
      <c r="O389" s="121"/>
      <c r="P389" s="121"/>
      <c r="Q389" s="121"/>
      <c r="R389" s="120"/>
      <c r="S389" s="120"/>
      <c r="T389" s="120"/>
      <c r="U389" s="120"/>
      <c r="X389" s="92"/>
    </row>
    <row r="390" spans="14:24" x14ac:dyDescent="0.2">
      <c r="N390" s="120"/>
      <c r="O390" s="121"/>
      <c r="P390" s="121"/>
      <c r="Q390" s="121"/>
      <c r="R390" s="120"/>
      <c r="S390" s="120"/>
      <c r="T390" s="120"/>
      <c r="U390" s="120"/>
      <c r="X390" s="92"/>
    </row>
    <row r="391" spans="14:24" x14ac:dyDescent="0.2">
      <c r="N391" s="120"/>
      <c r="O391" s="121"/>
      <c r="P391" s="121"/>
      <c r="Q391" s="121"/>
      <c r="R391" s="120"/>
      <c r="S391" s="120"/>
      <c r="T391" s="120"/>
      <c r="U391" s="120"/>
      <c r="X391" s="92"/>
    </row>
    <row r="392" spans="14:24" x14ac:dyDescent="0.2">
      <c r="N392" s="120"/>
      <c r="O392" s="121"/>
      <c r="P392" s="121"/>
      <c r="Q392" s="121"/>
      <c r="R392" s="120"/>
      <c r="S392" s="120"/>
      <c r="T392" s="120"/>
      <c r="U392" s="120"/>
      <c r="X392" s="92"/>
    </row>
    <row r="393" spans="14:24" x14ac:dyDescent="0.2">
      <c r="N393" s="120"/>
      <c r="O393" s="121"/>
      <c r="P393" s="121"/>
      <c r="Q393" s="121"/>
      <c r="R393" s="120"/>
      <c r="S393" s="120"/>
      <c r="T393" s="120"/>
      <c r="U393" s="120"/>
      <c r="X393" s="92"/>
    </row>
    <row r="394" spans="14:24" x14ac:dyDescent="0.2">
      <c r="N394" s="120"/>
      <c r="O394" s="121"/>
      <c r="P394" s="121"/>
      <c r="Q394" s="121"/>
      <c r="R394" s="120"/>
      <c r="S394" s="120"/>
      <c r="T394" s="120"/>
      <c r="U394" s="120"/>
      <c r="X394" s="92"/>
    </row>
    <row r="395" spans="14:24" x14ac:dyDescent="0.2">
      <c r="N395" s="120"/>
      <c r="O395" s="121"/>
      <c r="P395" s="121"/>
      <c r="Q395" s="121"/>
      <c r="R395" s="120"/>
      <c r="S395" s="120"/>
      <c r="T395" s="120"/>
      <c r="U395" s="120"/>
      <c r="X395" s="92"/>
    </row>
    <row r="396" spans="14:24" x14ac:dyDescent="0.2">
      <c r="N396" s="120"/>
      <c r="O396" s="121"/>
      <c r="P396" s="121"/>
      <c r="Q396" s="121"/>
      <c r="R396" s="120"/>
      <c r="S396" s="120"/>
      <c r="T396" s="120"/>
      <c r="U396" s="120"/>
      <c r="X396" s="92"/>
    </row>
    <row r="397" spans="14:24" x14ac:dyDescent="0.2">
      <c r="N397" s="120"/>
      <c r="O397" s="121"/>
      <c r="P397" s="121"/>
      <c r="Q397" s="121"/>
      <c r="R397" s="120"/>
      <c r="S397" s="120"/>
      <c r="T397" s="120"/>
      <c r="U397" s="120"/>
      <c r="X397" s="92"/>
    </row>
    <row r="398" spans="14:24" x14ac:dyDescent="0.2">
      <c r="N398" s="120"/>
      <c r="O398" s="121"/>
      <c r="P398" s="121"/>
      <c r="Q398" s="121"/>
      <c r="R398" s="120"/>
      <c r="S398" s="120"/>
      <c r="T398" s="120"/>
      <c r="U398" s="120"/>
      <c r="X398" s="92"/>
    </row>
    <row r="399" spans="14:24" x14ac:dyDescent="0.2">
      <c r="N399" s="120"/>
      <c r="O399" s="121"/>
      <c r="P399" s="121"/>
      <c r="Q399" s="121"/>
      <c r="R399" s="120"/>
      <c r="S399" s="120"/>
      <c r="T399" s="120"/>
      <c r="U399" s="120"/>
      <c r="X399" s="92"/>
    </row>
    <row r="400" spans="14:24" x14ac:dyDescent="0.2">
      <c r="N400" s="120"/>
      <c r="O400" s="121"/>
      <c r="P400" s="121"/>
      <c r="Q400" s="121"/>
      <c r="R400" s="120"/>
      <c r="S400" s="120"/>
      <c r="T400" s="120"/>
      <c r="U400" s="120"/>
      <c r="X400" s="92"/>
    </row>
    <row r="401" spans="14:24" x14ac:dyDescent="0.2">
      <c r="N401" s="120"/>
      <c r="O401" s="121"/>
      <c r="P401" s="121"/>
      <c r="Q401" s="121"/>
      <c r="R401" s="120"/>
      <c r="S401" s="120"/>
      <c r="T401" s="120"/>
      <c r="U401" s="120"/>
      <c r="X401" s="92"/>
    </row>
    <row r="402" spans="14:24" x14ac:dyDescent="0.2">
      <c r="N402" s="120"/>
      <c r="O402" s="121"/>
      <c r="P402" s="121"/>
      <c r="Q402" s="121"/>
      <c r="R402" s="120"/>
      <c r="S402" s="120"/>
      <c r="T402" s="120"/>
      <c r="U402" s="120"/>
      <c r="X402" s="92"/>
    </row>
    <row r="403" spans="14:24" x14ac:dyDescent="0.2">
      <c r="N403" s="120"/>
      <c r="O403" s="121"/>
      <c r="P403" s="121"/>
      <c r="Q403" s="121"/>
      <c r="R403" s="120"/>
      <c r="S403" s="120"/>
      <c r="T403" s="120"/>
      <c r="U403" s="120"/>
      <c r="X403" s="92"/>
    </row>
    <row r="404" spans="14:24" x14ac:dyDescent="0.2">
      <c r="N404" s="120"/>
      <c r="O404" s="121"/>
      <c r="P404" s="121"/>
      <c r="Q404" s="121"/>
      <c r="R404" s="120"/>
      <c r="S404" s="120"/>
      <c r="T404" s="120"/>
      <c r="U404" s="120"/>
      <c r="X404" s="92"/>
    </row>
    <row r="405" spans="14:24" x14ac:dyDescent="0.2">
      <c r="N405" s="120"/>
      <c r="O405" s="121"/>
      <c r="P405" s="121"/>
      <c r="Q405" s="121"/>
      <c r="R405" s="120"/>
      <c r="S405" s="120"/>
      <c r="T405" s="120"/>
      <c r="U405" s="120"/>
      <c r="X405" s="92"/>
    </row>
    <row r="406" spans="14:24" x14ac:dyDescent="0.2">
      <c r="N406" s="120"/>
      <c r="O406" s="121"/>
      <c r="P406" s="121"/>
      <c r="Q406" s="121"/>
      <c r="R406" s="120"/>
      <c r="S406" s="120"/>
      <c r="T406" s="120"/>
      <c r="U406" s="120"/>
      <c r="X406" s="92"/>
    </row>
    <row r="407" spans="14:24" x14ac:dyDescent="0.2">
      <c r="N407" s="120"/>
      <c r="O407" s="121"/>
      <c r="P407" s="121"/>
      <c r="Q407" s="121"/>
      <c r="R407" s="120"/>
      <c r="S407" s="120"/>
      <c r="T407" s="120"/>
      <c r="U407" s="120"/>
      <c r="X407" s="92"/>
    </row>
    <row r="408" spans="14:24" x14ac:dyDescent="0.2">
      <c r="N408" s="120"/>
      <c r="O408" s="121"/>
      <c r="P408" s="121"/>
      <c r="Q408" s="121"/>
      <c r="R408" s="120"/>
      <c r="S408" s="120"/>
      <c r="T408" s="120"/>
      <c r="U408" s="120"/>
      <c r="X408" s="92"/>
    </row>
    <row r="409" spans="14:24" x14ac:dyDescent="0.2">
      <c r="N409" s="120"/>
      <c r="O409" s="121"/>
      <c r="P409" s="121"/>
      <c r="Q409" s="121"/>
      <c r="R409" s="120"/>
      <c r="S409" s="120"/>
      <c r="T409" s="120"/>
      <c r="U409" s="120"/>
      <c r="X409" s="92"/>
    </row>
    <row r="410" spans="14:24" x14ac:dyDescent="0.2">
      <c r="N410" s="120"/>
      <c r="O410" s="121"/>
      <c r="P410" s="121"/>
      <c r="Q410" s="121"/>
      <c r="R410" s="120"/>
      <c r="S410" s="120"/>
      <c r="T410" s="120"/>
      <c r="U410" s="120"/>
      <c r="X410" s="92"/>
    </row>
    <row r="411" spans="14:24" x14ac:dyDescent="0.2">
      <c r="N411" s="120"/>
      <c r="O411" s="121"/>
      <c r="P411" s="121"/>
      <c r="Q411" s="121"/>
      <c r="R411" s="120"/>
      <c r="S411" s="120"/>
      <c r="T411" s="120"/>
      <c r="U411" s="120"/>
      <c r="X411" s="92"/>
    </row>
    <row r="412" spans="14:24" x14ac:dyDescent="0.2">
      <c r="N412" s="120"/>
      <c r="O412" s="121"/>
      <c r="P412" s="121"/>
      <c r="Q412" s="121"/>
      <c r="R412" s="120"/>
      <c r="S412" s="120"/>
      <c r="T412" s="120"/>
      <c r="U412" s="120"/>
      <c r="X412" s="92"/>
    </row>
    <row r="413" spans="14:24" x14ac:dyDescent="0.2">
      <c r="N413" s="120"/>
      <c r="O413" s="121"/>
      <c r="P413" s="121"/>
      <c r="Q413" s="121"/>
      <c r="R413" s="120"/>
      <c r="S413" s="120"/>
      <c r="T413" s="120"/>
      <c r="U413" s="120"/>
      <c r="X413" s="92"/>
    </row>
    <row r="414" spans="14:24" x14ac:dyDescent="0.2">
      <c r="N414" s="120"/>
      <c r="O414" s="121"/>
      <c r="P414" s="121"/>
      <c r="Q414" s="121"/>
      <c r="R414" s="120"/>
      <c r="S414" s="120"/>
      <c r="T414" s="120"/>
      <c r="U414" s="120"/>
      <c r="X414" s="92"/>
    </row>
    <row r="415" spans="14:24" x14ac:dyDescent="0.2">
      <c r="N415" s="120"/>
      <c r="O415" s="121"/>
      <c r="P415" s="121"/>
      <c r="Q415" s="121"/>
      <c r="R415" s="120"/>
      <c r="S415" s="120"/>
      <c r="T415" s="120"/>
      <c r="U415" s="120"/>
      <c r="X415" s="92"/>
    </row>
    <row r="416" spans="14:24" x14ac:dyDescent="0.2">
      <c r="N416" s="120"/>
      <c r="O416" s="121"/>
      <c r="P416" s="121"/>
      <c r="Q416" s="121"/>
      <c r="R416" s="120"/>
      <c r="S416" s="120"/>
      <c r="T416" s="120"/>
      <c r="U416" s="120"/>
      <c r="X416" s="92"/>
    </row>
    <row r="417" spans="14:24" x14ac:dyDescent="0.2">
      <c r="N417" s="120"/>
      <c r="O417" s="121"/>
      <c r="P417" s="121"/>
      <c r="Q417" s="121"/>
      <c r="R417" s="120"/>
      <c r="S417" s="120"/>
      <c r="T417" s="120"/>
      <c r="U417" s="120"/>
      <c r="X417" s="92"/>
    </row>
    <row r="418" spans="14:24" x14ac:dyDescent="0.2">
      <c r="N418" s="120"/>
      <c r="O418" s="121"/>
      <c r="P418" s="121"/>
      <c r="Q418" s="121"/>
      <c r="R418" s="120"/>
      <c r="S418" s="120"/>
      <c r="T418" s="120"/>
      <c r="U418" s="120"/>
      <c r="X418" s="92"/>
    </row>
    <row r="419" spans="14:24" x14ac:dyDescent="0.2">
      <c r="N419" s="120"/>
      <c r="O419" s="121"/>
      <c r="P419" s="121"/>
      <c r="Q419" s="121"/>
      <c r="R419" s="120"/>
      <c r="S419" s="120"/>
      <c r="T419" s="120"/>
      <c r="U419" s="120"/>
      <c r="X419" s="92"/>
    </row>
    <row r="420" spans="14:24" x14ac:dyDescent="0.2">
      <c r="N420" s="120"/>
      <c r="O420" s="121"/>
      <c r="P420" s="121"/>
      <c r="Q420" s="121"/>
      <c r="R420" s="120"/>
      <c r="S420" s="120"/>
      <c r="T420" s="120"/>
      <c r="U420" s="120"/>
      <c r="X420" s="92"/>
    </row>
    <row r="421" spans="14:24" x14ac:dyDescent="0.2">
      <c r="N421" s="120"/>
      <c r="O421" s="121"/>
      <c r="P421" s="121"/>
      <c r="Q421" s="121"/>
      <c r="R421" s="120"/>
      <c r="S421" s="120"/>
      <c r="T421" s="120"/>
      <c r="U421" s="120"/>
      <c r="X421" s="92"/>
    </row>
    <row r="422" spans="14:24" x14ac:dyDescent="0.2">
      <c r="N422" s="120"/>
      <c r="O422" s="121"/>
      <c r="P422" s="121"/>
      <c r="Q422" s="121"/>
      <c r="R422" s="120"/>
      <c r="S422" s="120"/>
      <c r="T422" s="120"/>
      <c r="U422" s="120"/>
      <c r="X422" s="92"/>
    </row>
    <row r="423" spans="14:24" x14ac:dyDescent="0.2">
      <c r="N423" s="120"/>
      <c r="O423" s="121"/>
      <c r="P423" s="121"/>
      <c r="Q423" s="121"/>
      <c r="R423" s="120"/>
      <c r="S423" s="120"/>
      <c r="T423" s="120"/>
      <c r="U423" s="120"/>
      <c r="X423" s="92"/>
    </row>
    <row r="424" spans="14:24" x14ac:dyDescent="0.2">
      <c r="N424" s="120"/>
      <c r="O424" s="121"/>
      <c r="P424" s="121"/>
      <c r="Q424" s="121"/>
      <c r="R424" s="120"/>
      <c r="S424" s="120"/>
      <c r="T424" s="120"/>
      <c r="U424" s="120"/>
      <c r="X424" s="92"/>
    </row>
    <row r="425" spans="14:24" x14ac:dyDescent="0.2">
      <c r="N425" s="120"/>
      <c r="O425" s="121"/>
      <c r="P425" s="121"/>
      <c r="Q425" s="121"/>
      <c r="R425" s="120"/>
      <c r="S425" s="120"/>
      <c r="T425" s="120"/>
      <c r="U425" s="120"/>
      <c r="X425" s="92"/>
    </row>
    <row r="426" spans="14:24" x14ac:dyDescent="0.2">
      <c r="N426" s="120"/>
      <c r="O426" s="121"/>
      <c r="P426" s="121"/>
      <c r="Q426" s="121"/>
      <c r="R426" s="120"/>
      <c r="S426" s="120"/>
      <c r="T426" s="120"/>
      <c r="U426" s="120"/>
      <c r="X426" s="92"/>
    </row>
    <row r="427" spans="14:24" x14ac:dyDescent="0.2">
      <c r="N427" s="120"/>
      <c r="O427" s="121"/>
      <c r="P427" s="121"/>
      <c r="Q427" s="121"/>
      <c r="R427" s="120"/>
      <c r="S427" s="120"/>
      <c r="T427" s="120"/>
      <c r="U427" s="120"/>
      <c r="X427" s="92"/>
    </row>
    <row r="428" spans="14:24" x14ac:dyDescent="0.2">
      <c r="N428" s="120"/>
      <c r="O428" s="121"/>
      <c r="P428" s="121"/>
      <c r="Q428" s="121"/>
      <c r="R428" s="120"/>
      <c r="S428" s="120"/>
      <c r="T428" s="120"/>
      <c r="U428" s="120"/>
      <c r="X428" s="92"/>
    </row>
    <row r="429" spans="14:24" x14ac:dyDescent="0.2">
      <c r="N429" s="120"/>
      <c r="O429" s="121"/>
      <c r="P429" s="121"/>
      <c r="Q429" s="121"/>
      <c r="R429" s="120"/>
      <c r="S429" s="120"/>
      <c r="T429" s="120"/>
      <c r="U429" s="120"/>
      <c r="X429" s="92"/>
    </row>
    <row r="430" spans="14:24" x14ac:dyDescent="0.2">
      <c r="N430" s="120"/>
      <c r="O430" s="121"/>
      <c r="P430" s="121"/>
      <c r="Q430" s="121"/>
      <c r="R430" s="120"/>
      <c r="S430" s="120"/>
      <c r="T430" s="120"/>
      <c r="U430" s="120"/>
      <c r="X430" s="92"/>
    </row>
    <row r="431" spans="14:24" x14ac:dyDescent="0.2">
      <c r="N431" s="120"/>
      <c r="O431" s="121"/>
      <c r="P431" s="121"/>
      <c r="Q431" s="121"/>
      <c r="R431" s="120"/>
      <c r="S431" s="120"/>
      <c r="T431" s="120"/>
      <c r="U431" s="120"/>
      <c r="X431" s="92"/>
    </row>
    <row r="432" spans="14:24" x14ac:dyDescent="0.2">
      <c r="N432" s="120"/>
      <c r="O432" s="121"/>
      <c r="P432" s="121"/>
      <c r="Q432" s="121"/>
      <c r="R432" s="120"/>
      <c r="S432" s="120"/>
      <c r="T432" s="120"/>
      <c r="U432" s="120"/>
      <c r="X432" s="92"/>
    </row>
    <row r="433" spans="14:24" x14ac:dyDescent="0.2">
      <c r="N433" s="120"/>
      <c r="O433" s="121"/>
      <c r="P433" s="121"/>
      <c r="Q433" s="121"/>
      <c r="R433" s="120"/>
      <c r="S433" s="120"/>
      <c r="T433" s="120"/>
      <c r="U433" s="120"/>
      <c r="X433" s="92"/>
    </row>
    <row r="434" spans="14:24" x14ac:dyDescent="0.2">
      <c r="N434" s="120"/>
      <c r="O434" s="121"/>
      <c r="P434" s="121"/>
      <c r="Q434" s="121"/>
      <c r="R434" s="120"/>
      <c r="S434" s="120"/>
      <c r="T434" s="120"/>
      <c r="U434" s="120"/>
      <c r="X434" s="92"/>
    </row>
    <row r="435" spans="14:24" x14ac:dyDescent="0.2">
      <c r="N435" s="120"/>
      <c r="O435" s="121"/>
      <c r="P435" s="121"/>
      <c r="Q435" s="121"/>
      <c r="R435" s="120"/>
      <c r="S435" s="120"/>
      <c r="T435" s="120"/>
      <c r="U435" s="120"/>
      <c r="X435" s="92"/>
    </row>
    <row r="436" spans="14:24" x14ac:dyDescent="0.2">
      <c r="N436" s="120"/>
      <c r="O436" s="121"/>
      <c r="P436" s="121"/>
      <c r="Q436" s="121"/>
      <c r="R436" s="120"/>
      <c r="S436" s="120"/>
      <c r="T436" s="120"/>
      <c r="U436" s="120"/>
      <c r="X436" s="92"/>
    </row>
    <row r="437" spans="14:24" x14ac:dyDescent="0.2">
      <c r="N437" s="120"/>
      <c r="O437" s="121"/>
      <c r="P437" s="121"/>
      <c r="Q437" s="121"/>
      <c r="R437" s="120"/>
      <c r="S437" s="120"/>
      <c r="T437" s="120"/>
      <c r="U437" s="120"/>
      <c r="X437" s="92"/>
    </row>
    <row r="438" spans="14:24" x14ac:dyDescent="0.2">
      <c r="N438" s="120"/>
      <c r="O438" s="121"/>
      <c r="P438" s="121"/>
      <c r="Q438" s="121"/>
      <c r="R438" s="120"/>
      <c r="S438" s="120"/>
      <c r="T438" s="120"/>
      <c r="U438" s="120"/>
      <c r="X438" s="92"/>
    </row>
    <row r="439" spans="14:24" x14ac:dyDescent="0.2">
      <c r="N439" s="120"/>
      <c r="O439" s="121"/>
      <c r="P439" s="121"/>
      <c r="Q439" s="121"/>
      <c r="R439" s="120"/>
      <c r="S439" s="120"/>
      <c r="T439" s="120"/>
      <c r="U439" s="120"/>
      <c r="X439" s="92"/>
    </row>
    <row r="440" spans="14:24" x14ac:dyDescent="0.2">
      <c r="N440" s="120"/>
      <c r="O440" s="121"/>
      <c r="P440" s="121"/>
      <c r="Q440" s="121"/>
      <c r="R440" s="120"/>
      <c r="S440" s="120"/>
      <c r="T440" s="120"/>
      <c r="U440" s="120"/>
      <c r="X440" s="92"/>
    </row>
    <row r="441" spans="14:24" x14ac:dyDescent="0.2">
      <c r="N441" s="120"/>
      <c r="O441" s="121"/>
      <c r="P441" s="121"/>
      <c r="Q441" s="121"/>
      <c r="R441" s="120"/>
      <c r="S441" s="120"/>
      <c r="T441" s="120"/>
      <c r="U441" s="120"/>
      <c r="X441" s="92"/>
    </row>
    <row r="442" spans="14:24" x14ac:dyDescent="0.2">
      <c r="N442" s="120"/>
      <c r="O442" s="121"/>
      <c r="P442" s="121"/>
      <c r="Q442" s="121"/>
      <c r="R442" s="120"/>
      <c r="S442" s="120"/>
      <c r="T442" s="120"/>
      <c r="U442" s="120"/>
      <c r="X442" s="92"/>
    </row>
    <row r="443" spans="14:24" x14ac:dyDescent="0.2">
      <c r="N443" s="120"/>
      <c r="O443" s="121"/>
      <c r="P443" s="121"/>
      <c r="Q443" s="121"/>
      <c r="R443" s="120"/>
      <c r="S443" s="120"/>
      <c r="T443" s="120"/>
      <c r="U443" s="120"/>
      <c r="X443" s="92"/>
    </row>
    <row r="444" spans="14:24" x14ac:dyDescent="0.2">
      <c r="N444" s="120"/>
      <c r="O444" s="121"/>
      <c r="P444" s="121"/>
      <c r="Q444" s="121"/>
      <c r="R444" s="120"/>
      <c r="S444" s="120"/>
      <c r="T444" s="120"/>
      <c r="U444" s="120"/>
      <c r="X444" s="92"/>
    </row>
    <row r="445" spans="14:24" x14ac:dyDescent="0.2">
      <c r="N445" s="120"/>
      <c r="O445" s="121"/>
      <c r="P445" s="121"/>
      <c r="Q445" s="121"/>
      <c r="R445" s="120"/>
      <c r="S445" s="120"/>
      <c r="T445" s="120"/>
      <c r="U445" s="120"/>
      <c r="X445" s="92"/>
    </row>
    <row r="446" spans="14:24" x14ac:dyDescent="0.2">
      <c r="N446" s="120"/>
      <c r="O446" s="121"/>
      <c r="P446" s="121"/>
      <c r="Q446" s="121"/>
      <c r="R446" s="120"/>
      <c r="S446" s="120"/>
      <c r="T446" s="120"/>
      <c r="U446" s="120"/>
      <c r="X446" s="92"/>
    </row>
    <row r="447" spans="14:24" x14ac:dyDescent="0.2">
      <c r="N447" s="120"/>
      <c r="O447" s="121"/>
      <c r="P447" s="121"/>
      <c r="Q447" s="121"/>
      <c r="R447" s="120"/>
      <c r="S447" s="120"/>
      <c r="T447" s="120"/>
      <c r="U447" s="120"/>
      <c r="X447" s="92"/>
    </row>
    <row r="448" spans="14:24" x14ac:dyDescent="0.2">
      <c r="N448" s="120"/>
      <c r="O448" s="121"/>
      <c r="P448" s="121"/>
      <c r="Q448" s="121"/>
      <c r="R448" s="120"/>
      <c r="S448" s="120"/>
      <c r="T448" s="120"/>
      <c r="U448" s="120"/>
      <c r="X448" s="92"/>
    </row>
    <row r="449" spans="14:24" x14ac:dyDescent="0.2">
      <c r="N449" s="120"/>
      <c r="O449" s="121"/>
      <c r="P449" s="121"/>
      <c r="Q449" s="121"/>
      <c r="R449" s="120"/>
      <c r="S449" s="120"/>
      <c r="T449" s="120"/>
      <c r="U449" s="120"/>
      <c r="X449" s="92"/>
    </row>
    <row r="450" spans="14:24" x14ac:dyDescent="0.2">
      <c r="N450" s="120"/>
      <c r="O450" s="121"/>
      <c r="P450" s="121"/>
      <c r="Q450" s="121"/>
      <c r="R450" s="120"/>
      <c r="S450" s="120"/>
      <c r="T450" s="120"/>
      <c r="U450" s="120"/>
      <c r="X450" s="92"/>
    </row>
    <row r="451" spans="14:24" x14ac:dyDescent="0.2">
      <c r="N451" s="120"/>
      <c r="O451" s="121"/>
      <c r="P451" s="121"/>
      <c r="Q451" s="121"/>
      <c r="R451" s="120"/>
      <c r="S451" s="120"/>
      <c r="T451" s="120"/>
      <c r="U451" s="120"/>
      <c r="X451" s="92"/>
    </row>
    <row r="452" spans="14:24" x14ac:dyDescent="0.2">
      <c r="N452" s="120"/>
      <c r="O452" s="121"/>
      <c r="P452" s="121"/>
      <c r="Q452" s="121"/>
      <c r="R452" s="120"/>
      <c r="S452" s="120"/>
      <c r="T452" s="120"/>
      <c r="U452" s="120"/>
      <c r="X452" s="92"/>
    </row>
    <row r="453" spans="14:24" x14ac:dyDescent="0.2">
      <c r="N453" s="120"/>
      <c r="O453" s="121"/>
      <c r="P453" s="121"/>
      <c r="Q453" s="121"/>
      <c r="R453" s="120"/>
      <c r="S453" s="120"/>
      <c r="T453" s="120"/>
      <c r="U453" s="120"/>
      <c r="X453" s="92"/>
    </row>
    <row r="454" spans="14:24" x14ac:dyDescent="0.2">
      <c r="N454" s="120"/>
      <c r="O454" s="121"/>
      <c r="P454" s="121"/>
      <c r="Q454" s="121"/>
      <c r="R454" s="120"/>
      <c r="S454" s="120"/>
      <c r="T454" s="120"/>
      <c r="U454" s="120"/>
      <c r="X454" s="92"/>
    </row>
    <row r="455" spans="14:24" x14ac:dyDescent="0.2">
      <c r="N455" s="120"/>
      <c r="O455" s="121"/>
      <c r="P455" s="121"/>
      <c r="Q455" s="121"/>
      <c r="R455" s="120"/>
      <c r="S455" s="120"/>
      <c r="T455" s="120"/>
      <c r="U455" s="120"/>
      <c r="X455" s="92"/>
    </row>
    <row r="456" spans="14:24" x14ac:dyDescent="0.2">
      <c r="N456" s="120"/>
      <c r="O456" s="121"/>
      <c r="P456" s="121"/>
      <c r="Q456" s="121"/>
      <c r="R456" s="120"/>
      <c r="S456" s="120"/>
      <c r="T456" s="120"/>
      <c r="U456" s="120"/>
      <c r="X456" s="92"/>
    </row>
    <row r="457" spans="14:24" x14ac:dyDescent="0.2">
      <c r="N457" s="120"/>
      <c r="O457" s="121"/>
      <c r="P457" s="121"/>
      <c r="Q457" s="121"/>
      <c r="R457" s="120"/>
      <c r="S457" s="120"/>
      <c r="T457" s="120"/>
      <c r="U457" s="120"/>
      <c r="X457" s="92"/>
    </row>
    <row r="458" spans="14:24" x14ac:dyDescent="0.2">
      <c r="N458" s="120"/>
      <c r="O458" s="121"/>
      <c r="P458" s="121"/>
      <c r="Q458" s="121"/>
      <c r="R458" s="120"/>
      <c r="S458" s="120"/>
      <c r="T458" s="120"/>
      <c r="U458" s="120"/>
      <c r="X458" s="92"/>
    </row>
    <row r="459" spans="14:24" x14ac:dyDescent="0.2">
      <c r="N459" s="120"/>
      <c r="O459" s="121"/>
      <c r="P459" s="121"/>
      <c r="Q459" s="121"/>
      <c r="R459" s="120"/>
      <c r="S459" s="120"/>
      <c r="T459" s="120"/>
      <c r="U459" s="120"/>
      <c r="X459" s="92"/>
    </row>
    <row r="460" spans="14:24" x14ac:dyDescent="0.2">
      <c r="N460" s="120"/>
      <c r="O460" s="121"/>
      <c r="P460" s="121"/>
      <c r="Q460" s="121"/>
      <c r="R460" s="120"/>
      <c r="S460" s="120"/>
      <c r="T460" s="120"/>
      <c r="U460" s="120"/>
      <c r="X460" s="92"/>
    </row>
    <row r="461" spans="14:24" x14ac:dyDescent="0.2">
      <c r="N461" s="120"/>
      <c r="O461" s="121"/>
      <c r="P461" s="121"/>
      <c r="Q461" s="121"/>
      <c r="R461" s="120"/>
      <c r="S461" s="120"/>
      <c r="T461" s="120"/>
      <c r="U461" s="120"/>
      <c r="X461" s="92"/>
    </row>
    <row r="462" spans="14:24" x14ac:dyDescent="0.2">
      <c r="N462" s="120"/>
      <c r="O462" s="121"/>
      <c r="P462" s="121"/>
      <c r="Q462" s="121"/>
      <c r="R462" s="120"/>
      <c r="S462" s="120"/>
      <c r="T462" s="120"/>
      <c r="U462" s="120"/>
      <c r="X462" s="92"/>
    </row>
    <row r="463" spans="14:24" x14ac:dyDescent="0.2">
      <c r="N463" s="120"/>
      <c r="O463" s="121"/>
      <c r="P463" s="121"/>
      <c r="Q463" s="121"/>
      <c r="R463" s="120"/>
      <c r="S463" s="120"/>
      <c r="T463" s="120"/>
      <c r="U463" s="120"/>
      <c r="X463" s="92"/>
    </row>
    <row r="464" spans="14:24" x14ac:dyDescent="0.2">
      <c r="N464" s="120"/>
      <c r="O464" s="121"/>
      <c r="P464" s="121"/>
      <c r="Q464" s="121"/>
      <c r="R464" s="120"/>
      <c r="S464" s="120"/>
      <c r="T464" s="120"/>
      <c r="U464" s="120"/>
      <c r="X464" s="92"/>
    </row>
    <row r="465" spans="14:24" x14ac:dyDescent="0.2">
      <c r="N465" s="120"/>
      <c r="O465" s="121"/>
      <c r="P465" s="121"/>
      <c r="Q465" s="121"/>
      <c r="R465" s="120"/>
      <c r="S465" s="120"/>
      <c r="T465" s="120"/>
      <c r="U465" s="120"/>
      <c r="X465" s="92"/>
    </row>
    <row r="466" spans="14:24" x14ac:dyDescent="0.2">
      <c r="N466" s="120"/>
      <c r="O466" s="121"/>
      <c r="P466" s="121"/>
      <c r="Q466" s="121"/>
      <c r="R466" s="120"/>
      <c r="S466" s="120"/>
      <c r="T466" s="120"/>
      <c r="U466" s="120"/>
      <c r="X466" s="92"/>
    </row>
    <row r="467" spans="14:24" x14ac:dyDescent="0.2">
      <c r="N467" s="120"/>
      <c r="O467" s="121"/>
      <c r="P467" s="121"/>
      <c r="Q467" s="121"/>
      <c r="R467" s="120"/>
      <c r="S467" s="120"/>
      <c r="T467" s="120"/>
      <c r="U467" s="120"/>
      <c r="X467" s="92"/>
    </row>
    <row r="468" spans="14:24" x14ac:dyDescent="0.2">
      <c r="N468" s="120"/>
      <c r="O468" s="121"/>
      <c r="P468" s="121"/>
      <c r="Q468" s="121"/>
      <c r="R468" s="120"/>
      <c r="S468" s="120"/>
      <c r="T468" s="120"/>
      <c r="U468" s="120"/>
      <c r="X468" s="92"/>
    </row>
    <row r="469" spans="14:24" x14ac:dyDescent="0.2">
      <c r="N469" s="120"/>
      <c r="O469" s="121"/>
      <c r="P469" s="121"/>
      <c r="Q469" s="121"/>
      <c r="R469" s="120"/>
      <c r="S469" s="120"/>
      <c r="T469" s="120"/>
      <c r="U469" s="120"/>
      <c r="X469" s="92"/>
    </row>
    <row r="470" spans="14:24" x14ac:dyDescent="0.2">
      <c r="N470" s="120"/>
      <c r="O470" s="121"/>
      <c r="P470" s="121"/>
      <c r="Q470" s="121"/>
      <c r="R470" s="120"/>
      <c r="S470" s="120"/>
      <c r="T470" s="120"/>
      <c r="U470" s="120"/>
      <c r="X470" s="92"/>
    </row>
    <row r="471" spans="14:24" x14ac:dyDescent="0.2">
      <c r="N471" s="120"/>
      <c r="O471" s="121"/>
      <c r="P471" s="121"/>
      <c r="Q471" s="121"/>
      <c r="R471" s="120"/>
      <c r="S471" s="120"/>
      <c r="T471" s="120"/>
      <c r="U471" s="120"/>
      <c r="X471" s="92"/>
    </row>
    <row r="472" spans="14:24" x14ac:dyDescent="0.2">
      <c r="N472" s="120"/>
      <c r="O472" s="121"/>
      <c r="P472" s="121"/>
      <c r="Q472" s="121"/>
      <c r="R472" s="120"/>
      <c r="S472" s="120"/>
      <c r="T472" s="120"/>
      <c r="U472" s="120"/>
      <c r="X472" s="92"/>
    </row>
    <row r="473" spans="14:24" x14ac:dyDescent="0.2">
      <c r="N473" s="120"/>
      <c r="O473" s="121"/>
      <c r="P473" s="121"/>
      <c r="Q473" s="121"/>
      <c r="R473" s="120"/>
      <c r="S473" s="120"/>
      <c r="T473" s="120"/>
      <c r="U473" s="120"/>
      <c r="X473" s="92"/>
    </row>
    <row r="474" spans="14:24" x14ac:dyDescent="0.2">
      <c r="N474" s="120"/>
      <c r="O474" s="121"/>
      <c r="P474" s="121"/>
      <c r="Q474" s="121"/>
      <c r="R474" s="120"/>
      <c r="S474" s="120"/>
      <c r="T474" s="120"/>
      <c r="U474" s="120"/>
      <c r="X474" s="92"/>
    </row>
    <row r="475" spans="14:24" x14ac:dyDescent="0.2">
      <c r="N475" s="120"/>
      <c r="O475" s="121"/>
      <c r="P475" s="121"/>
      <c r="Q475" s="121"/>
      <c r="R475" s="120"/>
      <c r="S475" s="120"/>
      <c r="T475" s="120"/>
      <c r="U475" s="120"/>
      <c r="X475" s="92"/>
    </row>
    <row r="476" spans="14:24" x14ac:dyDescent="0.2">
      <c r="N476" s="120"/>
      <c r="O476" s="121"/>
      <c r="P476" s="121"/>
      <c r="Q476" s="121"/>
      <c r="R476" s="120"/>
      <c r="S476" s="120"/>
      <c r="T476" s="120"/>
      <c r="U476" s="120"/>
      <c r="X476" s="92"/>
    </row>
    <row r="477" spans="14:24" x14ac:dyDescent="0.2">
      <c r="N477" s="120"/>
      <c r="O477" s="121"/>
      <c r="P477" s="121"/>
      <c r="Q477" s="121"/>
      <c r="R477" s="120"/>
      <c r="S477" s="120"/>
      <c r="T477" s="120"/>
      <c r="U477" s="120"/>
      <c r="X477" s="92"/>
    </row>
    <row r="478" spans="14:24" x14ac:dyDescent="0.2">
      <c r="N478" s="120"/>
      <c r="O478" s="121"/>
      <c r="P478" s="121"/>
      <c r="Q478" s="121"/>
      <c r="R478" s="120"/>
      <c r="S478" s="120"/>
      <c r="T478" s="120"/>
      <c r="U478" s="120"/>
      <c r="X478" s="92"/>
    </row>
    <row r="479" spans="14:24" x14ac:dyDescent="0.2">
      <c r="N479" s="120"/>
      <c r="O479" s="121"/>
      <c r="P479" s="121"/>
      <c r="Q479" s="121"/>
      <c r="R479" s="120"/>
      <c r="S479" s="120"/>
      <c r="T479" s="120"/>
      <c r="U479" s="120"/>
      <c r="X479" s="92"/>
    </row>
    <row r="480" spans="14:24" x14ac:dyDescent="0.2">
      <c r="N480" s="120"/>
      <c r="O480" s="121"/>
      <c r="P480" s="121"/>
      <c r="Q480" s="121"/>
      <c r="R480" s="120"/>
      <c r="S480" s="120"/>
      <c r="T480" s="120"/>
      <c r="U480" s="120"/>
      <c r="X480" s="92"/>
    </row>
    <row r="481" spans="14:24" x14ac:dyDescent="0.2">
      <c r="N481" s="120"/>
      <c r="O481" s="121"/>
      <c r="P481" s="121"/>
      <c r="Q481" s="121"/>
      <c r="R481" s="120"/>
      <c r="S481" s="120"/>
      <c r="T481" s="120"/>
      <c r="U481" s="120"/>
      <c r="X481" s="92"/>
    </row>
    <row r="482" spans="14:24" x14ac:dyDescent="0.2">
      <c r="N482" s="120"/>
      <c r="O482" s="121"/>
      <c r="P482" s="121"/>
      <c r="Q482" s="121"/>
      <c r="R482" s="120"/>
      <c r="S482" s="120"/>
      <c r="T482" s="120"/>
      <c r="U482" s="120"/>
      <c r="X482" s="92"/>
    </row>
    <row r="483" spans="14:24" x14ac:dyDescent="0.2">
      <c r="N483" s="120"/>
      <c r="O483" s="121"/>
      <c r="P483" s="121"/>
      <c r="Q483" s="121"/>
      <c r="R483" s="120"/>
      <c r="S483" s="120"/>
      <c r="T483" s="120"/>
      <c r="U483" s="120"/>
      <c r="X483" s="92"/>
    </row>
    <row r="484" spans="14:24" x14ac:dyDescent="0.2">
      <c r="N484" s="120"/>
      <c r="O484" s="121"/>
      <c r="P484" s="121"/>
      <c r="Q484" s="121"/>
      <c r="R484" s="120"/>
      <c r="S484" s="120"/>
      <c r="T484" s="120"/>
      <c r="U484" s="120"/>
      <c r="X484" s="92"/>
    </row>
    <row r="485" spans="14:24" x14ac:dyDescent="0.2">
      <c r="N485" s="120"/>
      <c r="O485" s="121"/>
      <c r="P485" s="121"/>
      <c r="Q485" s="121"/>
      <c r="R485" s="120"/>
      <c r="S485" s="120"/>
      <c r="T485" s="120"/>
      <c r="U485" s="120"/>
      <c r="X485" s="92"/>
    </row>
    <row r="486" spans="14:24" x14ac:dyDescent="0.2">
      <c r="N486" s="120"/>
      <c r="O486" s="121"/>
      <c r="P486" s="121"/>
      <c r="Q486" s="121"/>
      <c r="R486" s="120"/>
      <c r="S486" s="120"/>
      <c r="T486" s="120"/>
      <c r="U486" s="120"/>
      <c r="X486" s="92"/>
    </row>
    <row r="487" spans="14:24" x14ac:dyDescent="0.2">
      <c r="N487" s="120"/>
      <c r="O487" s="121"/>
      <c r="P487" s="121"/>
      <c r="Q487" s="121"/>
      <c r="R487" s="120"/>
      <c r="S487" s="120"/>
      <c r="T487" s="120"/>
      <c r="U487" s="120"/>
      <c r="X487" s="92"/>
    </row>
    <row r="488" spans="14:24" x14ac:dyDescent="0.2">
      <c r="N488" s="120"/>
      <c r="O488" s="121"/>
      <c r="P488" s="121"/>
      <c r="Q488" s="121"/>
      <c r="R488" s="120"/>
      <c r="S488" s="120"/>
      <c r="T488" s="120"/>
      <c r="U488" s="120"/>
      <c r="X488" s="92"/>
    </row>
    <row r="489" spans="14:24" x14ac:dyDescent="0.2">
      <c r="N489" s="120"/>
      <c r="O489" s="121"/>
      <c r="P489" s="121"/>
      <c r="Q489" s="121"/>
      <c r="R489" s="120"/>
      <c r="S489" s="120"/>
      <c r="T489" s="120"/>
      <c r="U489" s="120"/>
      <c r="X489" s="92"/>
    </row>
    <row r="490" spans="14:24" x14ac:dyDescent="0.2">
      <c r="N490" s="120"/>
      <c r="O490" s="121"/>
      <c r="P490" s="121"/>
      <c r="Q490" s="121"/>
      <c r="R490" s="120"/>
      <c r="S490" s="120"/>
      <c r="T490" s="120"/>
      <c r="U490" s="120"/>
      <c r="X490" s="92"/>
    </row>
    <row r="491" spans="14:24" x14ac:dyDescent="0.2">
      <c r="N491" s="120"/>
      <c r="O491" s="121"/>
      <c r="P491" s="121"/>
      <c r="Q491" s="121"/>
      <c r="R491" s="120"/>
      <c r="S491" s="120"/>
      <c r="T491" s="120"/>
      <c r="U491" s="120"/>
      <c r="X491" s="92"/>
    </row>
    <row r="492" spans="14:24" x14ac:dyDescent="0.2">
      <c r="N492" s="120"/>
      <c r="O492" s="121"/>
      <c r="P492" s="121"/>
      <c r="Q492" s="121"/>
      <c r="R492" s="120"/>
      <c r="S492" s="120"/>
      <c r="T492" s="120"/>
      <c r="U492" s="120"/>
      <c r="X492" s="92"/>
    </row>
    <row r="493" spans="14:24" x14ac:dyDescent="0.2">
      <c r="N493" s="120"/>
      <c r="O493" s="121"/>
      <c r="P493" s="121"/>
      <c r="Q493" s="121"/>
      <c r="R493" s="120"/>
      <c r="S493" s="120"/>
      <c r="T493" s="120"/>
      <c r="U493" s="120"/>
      <c r="X493" s="92"/>
    </row>
    <row r="494" spans="14:24" x14ac:dyDescent="0.2">
      <c r="N494" s="120"/>
      <c r="O494" s="121"/>
      <c r="P494" s="121"/>
      <c r="Q494" s="121"/>
      <c r="R494" s="120"/>
      <c r="S494" s="120"/>
      <c r="T494" s="120"/>
      <c r="U494" s="120"/>
      <c r="X494" s="92"/>
    </row>
    <row r="495" spans="14:24" x14ac:dyDescent="0.2">
      <c r="N495" s="120"/>
      <c r="O495" s="121"/>
      <c r="P495" s="121"/>
      <c r="Q495" s="121"/>
      <c r="R495" s="120"/>
      <c r="S495" s="120"/>
      <c r="T495" s="120"/>
      <c r="U495" s="120"/>
      <c r="X495" s="92"/>
    </row>
    <row r="496" spans="14:24" x14ac:dyDescent="0.2">
      <c r="N496" s="120"/>
      <c r="O496" s="121"/>
      <c r="P496" s="121"/>
      <c r="Q496" s="121"/>
      <c r="R496" s="120"/>
      <c r="S496" s="120"/>
      <c r="T496" s="120"/>
      <c r="U496" s="120"/>
      <c r="X496" s="92"/>
    </row>
    <row r="497" spans="14:24" x14ac:dyDescent="0.2">
      <c r="N497" s="120"/>
      <c r="O497" s="121"/>
      <c r="P497" s="121"/>
      <c r="Q497" s="121"/>
      <c r="R497" s="120"/>
      <c r="S497" s="120"/>
      <c r="T497" s="120"/>
      <c r="U497" s="120"/>
      <c r="X497" s="92"/>
    </row>
    <row r="498" spans="14:24" x14ac:dyDescent="0.2">
      <c r="N498" s="120"/>
      <c r="O498" s="121"/>
      <c r="P498" s="121"/>
      <c r="Q498" s="121"/>
      <c r="R498" s="120"/>
      <c r="S498" s="120"/>
      <c r="T498" s="120"/>
      <c r="U498" s="120"/>
      <c r="X498" s="92"/>
    </row>
    <row r="499" spans="14:24" x14ac:dyDescent="0.2">
      <c r="N499" s="120"/>
      <c r="O499" s="121"/>
      <c r="P499" s="121"/>
      <c r="Q499" s="121"/>
      <c r="R499" s="120"/>
      <c r="S499" s="120"/>
      <c r="T499" s="120"/>
      <c r="U499" s="120"/>
      <c r="X499" s="92"/>
    </row>
    <row r="500" spans="14:24" x14ac:dyDescent="0.2">
      <c r="N500" s="120"/>
      <c r="O500" s="121"/>
      <c r="P500" s="121"/>
      <c r="Q500" s="121"/>
      <c r="R500" s="120"/>
      <c r="S500" s="120"/>
      <c r="T500" s="120"/>
      <c r="U500" s="120"/>
      <c r="X500" s="92"/>
    </row>
    <row r="501" spans="14:24" x14ac:dyDescent="0.2">
      <c r="N501" s="120"/>
      <c r="O501" s="121"/>
      <c r="P501" s="121"/>
      <c r="Q501" s="121"/>
      <c r="R501" s="120"/>
      <c r="S501" s="120"/>
      <c r="T501" s="120"/>
      <c r="U501" s="120"/>
      <c r="X501" s="92"/>
    </row>
    <row r="502" spans="14:24" x14ac:dyDescent="0.2">
      <c r="N502" s="120"/>
      <c r="O502" s="121"/>
      <c r="P502" s="121"/>
      <c r="Q502" s="121"/>
      <c r="R502" s="120"/>
      <c r="S502" s="120"/>
      <c r="T502" s="120"/>
      <c r="U502" s="120"/>
      <c r="X502" s="92"/>
    </row>
    <row r="503" spans="14:24" x14ac:dyDescent="0.2">
      <c r="N503" s="120"/>
      <c r="O503" s="121"/>
      <c r="P503" s="121"/>
      <c r="Q503" s="121"/>
      <c r="R503" s="120"/>
      <c r="S503" s="120"/>
      <c r="T503" s="120"/>
      <c r="U503" s="120"/>
      <c r="X503" s="92"/>
    </row>
    <row r="504" spans="14:24" x14ac:dyDescent="0.2">
      <c r="N504" s="120"/>
      <c r="O504" s="121"/>
      <c r="P504" s="121"/>
      <c r="Q504" s="121"/>
      <c r="R504" s="120"/>
      <c r="S504" s="120"/>
      <c r="T504" s="120"/>
      <c r="U504" s="120"/>
      <c r="X504" s="92"/>
    </row>
    <row r="505" spans="14:24" x14ac:dyDescent="0.2">
      <c r="N505" s="120"/>
      <c r="O505" s="121"/>
      <c r="P505" s="121"/>
      <c r="Q505" s="121"/>
      <c r="R505" s="120"/>
      <c r="S505" s="120"/>
      <c r="T505" s="120"/>
      <c r="U505" s="120"/>
      <c r="X505" s="92"/>
    </row>
    <row r="506" spans="14:24" x14ac:dyDescent="0.2">
      <c r="N506" s="120"/>
      <c r="O506" s="121"/>
      <c r="P506" s="121"/>
      <c r="Q506" s="121"/>
      <c r="R506" s="120"/>
      <c r="S506" s="120"/>
      <c r="T506" s="120"/>
      <c r="U506" s="120"/>
      <c r="X506" s="92"/>
    </row>
    <row r="507" spans="14:24" x14ac:dyDescent="0.2">
      <c r="N507" s="120"/>
      <c r="O507" s="121"/>
      <c r="P507" s="121"/>
      <c r="Q507" s="121"/>
      <c r="R507" s="120"/>
      <c r="S507" s="120"/>
      <c r="T507" s="120"/>
      <c r="U507" s="120"/>
      <c r="X507" s="92"/>
    </row>
    <row r="508" spans="14:24" x14ac:dyDescent="0.2">
      <c r="N508" s="120"/>
      <c r="O508" s="121"/>
      <c r="P508" s="121"/>
      <c r="Q508" s="121"/>
      <c r="R508" s="120"/>
      <c r="S508" s="120"/>
      <c r="T508" s="120"/>
      <c r="U508" s="120"/>
      <c r="X508" s="92"/>
    </row>
    <row r="509" spans="14:24" x14ac:dyDescent="0.2">
      <c r="N509" s="120"/>
      <c r="O509" s="121"/>
      <c r="P509" s="121"/>
      <c r="Q509" s="121"/>
      <c r="R509" s="120"/>
      <c r="S509" s="120"/>
      <c r="T509" s="120"/>
      <c r="U509" s="120"/>
      <c r="X509" s="92"/>
    </row>
    <row r="510" spans="14:24" x14ac:dyDescent="0.2">
      <c r="N510" s="120"/>
      <c r="O510" s="121"/>
      <c r="P510" s="121"/>
      <c r="Q510" s="121"/>
      <c r="R510" s="120"/>
      <c r="S510" s="120"/>
      <c r="T510" s="120"/>
      <c r="U510" s="120"/>
      <c r="X510" s="92"/>
    </row>
    <row r="511" spans="14:24" x14ac:dyDescent="0.2">
      <c r="N511" s="120"/>
      <c r="O511" s="121"/>
      <c r="P511" s="121"/>
      <c r="Q511" s="121"/>
      <c r="R511" s="120"/>
      <c r="S511" s="120"/>
      <c r="T511" s="120"/>
      <c r="U511" s="120"/>
      <c r="X511" s="92"/>
    </row>
    <row r="512" spans="14:24" x14ac:dyDescent="0.2">
      <c r="N512" s="120"/>
      <c r="O512" s="121"/>
      <c r="P512" s="121"/>
      <c r="Q512" s="121"/>
      <c r="R512" s="120"/>
      <c r="S512" s="120"/>
      <c r="T512" s="120"/>
      <c r="U512" s="120"/>
      <c r="X512" s="92"/>
    </row>
    <row r="513" spans="14:24" x14ac:dyDescent="0.2">
      <c r="N513" s="120"/>
      <c r="O513" s="121"/>
      <c r="P513" s="121"/>
      <c r="Q513" s="121"/>
      <c r="R513" s="120"/>
      <c r="S513" s="120"/>
      <c r="T513" s="120"/>
      <c r="U513" s="120"/>
      <c r="X513" s="92"/>
    </row>
    <row r="514" spans="14:24" x14ac:dyDescent="0.2">
      <c r="N514" s="120"/>
      <c r="O514" s="121"/>
      <c r="P514" s="121"/>
      <c r="Q514" s="121"/>
      <c r="R514" s="120"/>
      <c r="S514" s="120"/>
      <c r="T514" s="120"/>
      <c r="U514" s="120"/>
      <c r="X514" s="92"/>
    </row>
    <row r="515" spans="14:24" x14ac:dyDescent="0.2">
      <c r="N515" s="120"/>
      <c r="O515" s="121"/>
      <c r="P515" s="121"/>
      <c r="Q515" s="121"/>
      <c r="R515" s="120"/>
      <c r="S515" s="120"/>
      <c r="T515" s="120"/>
      <c r="U515" s="120"/>
      <c r="X515" s="92"/>
    </row>
    <row r="516" spans="14:24" x14ac:dyDescent="0.2">
      <c r="N516" s="120"/>
      <c r="O516" s="121"/>
      <c r="P516" s="121"/>
      <c r="Q516" s="121"/>
      <c r="R516" s="120"/>
      <c r="S516" s="120"/>
      <c r="T516" s="120"/>
      <c r="U516" s="120"/>
      <c r="X516" s="92"/>
    </row>
    <row r="517" spans="14:24" x14ac:dyDescent="0.2">
      <c r="N517" s="120"/>
      <c r="O517" s="121"/>
      <c r="P517" s="121"/>
      <c r="Q517" s="121"/>
      <c r="R517" s="120"/>
      <c r="S517" s="120"/>
      <c r="T517" s="120"/>
      <c r="U517" s="120"/>
      <c r="X517" s="92"/>
    </row>
    <row r="518" spans="14:24" x14ac:dyDescent="0.2">
      <c r="N518" s="120"/>
      <c r="O518" s="121"/>
      <c r="P518" s="121"/>
      <c r="Q518" s="121"/>
      <c r="R518" s="120"/>
      <c r="S518" s="120"/>
      <c r="T518" s="120"/>
      <c r="U518" s="120"/>
      <c r="X518" s="92"/>
    </row>
    <row r="519" spans="14:24" x14ac:dyDescent="0.2">
      <c r="N519" s="120"/>
      <c r="O519" s="121"/>
      <c r="P519" s="121"/>
      <c r="Q519" s="121"/>
      <c r="R519" s="120"/>
      <c r="S519" s="120"/>
      <c r="T519" s="120"/>
      <c r="U519" s="120"/>
      <c r="X519" s="92"/>
    </row>
    <row r="520" spans="14:24" x14ac:dyDescent="0.2">
      <c r="N520" s="120"/>
      <c r="O520" s="121"/>
      <c r="P520" s="121"/>
      <c r="Q520" s="121"/>
      <c r="R520" s="120"/>
      <c r="S520" s="120"/>
      <c r="T520" s="120"/>
      <c r="U520" s="120"/>
      <c r="X520" s="92"/>
    </row>
    <row r="521" spans="14:24" x14ac:dyDescent="0.2">
      <c r="N521" s="120"/>
      <c r="O521" s="121"/>
      <c r="P521" s="121"/>
      <c r="Q521" s="121"/>
      <c r="R521" s="120"/>
      <c r="S521" s="120"/>
      <c r="T521" s="120"/>
      <c r="U521" s="120"/>
      <c r="X521" s="92"/>
    </row>
    <row r="522" spans="14:24" x14ac:dyDescent="0.2">
      <c r="N522" s="120"/>
      <c r="O522" s="121"/>
      <c r="P522" s="121"/>
      <c r="Q522" s="121"/>
      <c r="R522" s="120"/>
      <c r="S522" s="120"/>
      <c r="T522" s="120"/>
      <c r="U522" s="120"/>
      <c r="X522" s="92"/>
    </row>
    <row r="523" spans="14:24" x14ac:dyDescent="0.2">
      <c r="N523" s="120"/>
      <c r="O523" s="121"/>
      <c r="P523" s="121"/>
      <c r="Q523" s="121"/>
      <c r="R523" s="120"/>
      <c r="S523" s="120"/>
      <c r="T523" s="120"/>
      <c r="U523" s="120"/>
      <c r="X523" s="92"/>
    </row>
    <row r="524" spans="14:24" x14ac:dyDescent="0.2">
      <c r="N524" s="120"/>
      <c r="O524" s="121"/>
      <c r="P524" s="121"/>
      <c r="Q524" s="121"/>
      <c r="R524" s="120"/>
      <c r="S524" s="120"/>
      <c r="T524" s="120"/>
      <c r="U524" s="120"/>
      <c r="X524" s="92"/>
    </row>
    <row r="525" spans="14:24" x14ac:dyDescent="0.2">
      <c r="N525" s="120"/>
      <c r="O525" s="121"/>
      <c r="P525" s="121"/>
      <c r="Q525" s="121"/>
      <c r="R525" s="120"/>
      <c r="S525" s="120"/>
      <c r="T525" s="120"/>
      <c r="U525" s="120"/>
      <c r="X525" s="92"/>
    </row>
    <row r="526" spans="14:24" x14ac:dyDescent="0.2">
      <c r="N526" s="120"/>
      <c r="O526" s="121"/>
      <c r="P526" s="121"/>
      <c r="Q526" s="121"/>
      <c r="R526" s="120"/>
      <c r="S526" s="120"/>
      <c r="T526" s="120"/>
      <c r="U526" s="120"/>
      <c r="X526" s="92"/>
    </row>
    <row r="527" spans="14:24" x14ac:dyDescent="0.2">
      <c r="N527" s="120"/>
      <c r="O527" s="121"/>
      <c r="P527" s="121"/>
      <c r="Q527" s="121"/>
      <c r="R527" s="120"/>
      <c r="S527" s="120"/>
      <c r="T527" s="120"/>
      <c r="U527" s="120"/>
      <c r="X527" s="92"/>
    </row>
    <row r="528" spans="14:24" x14ac:dyDescent="0.2">
      <c r="N528" s="120"/>
      <c r="O528" s="121"/>
      <c r="P528" s="121"/>
      <c r="Q528" s="121"/>
      <c r="R528" s="120"/>
      <c r="S528" s="120"/>
      <c r="T528" s="120"/>
      <c r="U528" s="120"/>
      <c r="X528" s="92"/>
    </row>
    <row r="529" spans="14:24" x14ac:dyDescent="0.2">
      <c r="N529" s="120"/>
      <c r="O529" s="121"/>
      <c r="P529" s="121"/>
      <c r="Q529" s="121"/>
      <c r="R529" s="120"/>
      <c r="S529" s="120"/>
      <c r="T529" s="120"/>
      <c r="U529" s="120"/>
      <c r="X529" s="92"/>
    </row>
    <row r="530" spans="14:24" x14ac:dyDescent="0.2">
      <c r="N530" s="120"/>
      <c r="O530" s="121"/>
      <c r="P530" s="121"/>
      <c r="Q530" s="121"/>
      <c r="R530" s="120"/>
      <c r="S530" s="120"/>
      <c r="T530" s="120"/>
      <c r="U530" s="120"/>
      <c r="X530" s="92"/>
    </row>
    <row r="531" spans="14:24" x14ac:dyDescent="0.2">
      <c r="N531" s="120"/>
      <c r="O531" s="121"/>
      <c r="P531" s="121"/>
      <c r="Q531" s="121"/>
      <c r="R531" s="120"/>
      <c r="S531" s="120"/>
      <c r="T531" s="120"/>
      <c r="U531" s="120"/>
      <c r="X531" s="92"/>
    </row>
    <row r="532" spans="14:24" x14ac:dyDescent="0.2">
      <c r="N532" s="120"/>
      <c r="O532" s="121"/>
      <c r="P532" s="121"/>
      <c r="Q532" s="121"/>
      <c r="R532" s="120"/>
      <c r="S532" s="120"/>
      <c r="T532" s="120"/>
      <c r="U532" s="120"/>
      <c r="X532" s="92"/>
    </row>
    <row r="533" spans="14:24" x14ac:dyDescent="0.2">
      <c r="N533" s="120"/>
      <c r="O533" s="121"/>
      <c r="P533" s="121"/>
      <c r="Q533" s="121"/>
      <c r="R533" s="120"/>
      <c r="S533" s="120"/>
      <c r="T533" s="120"/>
      <c r="U533" s="120"/>
      <c r="X533" s="92"/>
    </row>
    <row r="534" spans="14:24" x14ac:dyDescent="0.2">
      <c r="N534" s="120"/>
      <c r="O534" s="121"/>
      <c r="P534" s="121"/>
      <c r="Q534" s="121"/>
      <c r="R534" s="120"/>
      <c r="S534" s="120"/>
      <c r="T534" s="120"/>
      <c r="U534" s="120"/>
      <c r="X534" s="92"/>
    </row>
    <row r="535" spans="14:24" x14ac:dyDescent="0.2">
      <c r="N535" s="120"/>
      <c r="O535" s="121"/>
      <c r="P535" s="121"/>
      <c r="Q535" s="121"/>
      <c r="R535" s="120"/>
      <c r="S535" s="120"/>
      <c r="T535" s="120"/>
      <c r="U535" s="120"/>
      <c r="X535" s="92"/>
    </row>
    <row r="536" spans="14:24" x14ac:dyDescent="0.2">
      <c r="N536" s="120"/>
      <c r="O536" s="121"/>
      <c r="P536" s="121"/>
      <c r="Q536" s="121"/>
      <c r="R536" s="120"/>
      <c r="S536" s="120"/>
      <c r="T536" s="120"/>
      <c r="U536" s="120"/>
      <c r="X536" s="92"/>
    </row>
    <row r="537" spans="14:24" x14ac:dyDescent="0.2">
      <c r="N537" s="120"/>
      <c r="O537" s="121"/>
      <c r="P537" s="121"/>
      <c r="Q537" s="121"/>
      <c r="R537" s="120"/>
      <c r="S537" s="120"/>
      <c r="T537" s="120"/>
      <c r="U537" s="120"/>
      <c r="X537" s="92"/>
    </row>
    <row r="538" spans="14:24" x14ac:dyDescent="0.2">
      <c r="N538" s="120"/>
      <c r="O538" s="121"/>
      <c r="P538" s="121"/>
      <c r="Q538" s="121"/>
      <c r="R538" s="120"/>
      <c r="S538" s="120"/>
      <c r="T538" s="120"/>
      <c r="U538" s="120"/>
      <c r="X538" s="92"/>
    </row>
    <row r="539" spans="14:24" x14ac:dyDescent="0.2">
      <c r="N539" s="120"/>
      <c r="O539" s="121"/>
      <c r="P539" s="121"/>
      <c r="Q539" s="121"/>
      <c r="R539" s="120"/>
      <c r="S539" s="120"/>
      <c r="T539" s="120"/>
      <c r="U539" s="120"/>
      <c r="X539" s="92"/>
    </row>
    <row r="540" spans="14:24" x14ac:dyDescent="0.2">
      <c r="N540" s="120"/>
      <c r="O540" s="121"/>
      <c r="P540" s="121"/>
      <c r="Q540" s="121"/>
      <c r="R540" s="120"/>
      <c r="S540" s="120"/>
      <c r="T540" s="120"/>
      <c r="U540" s="120"/>
      <c r="X540" s="92"/>
    </row>
    <row r="541" spans="14:24" x14ac:dyDescent="0.2">
      <c r="N541" s="120"/>
      <c r="O541" s="121"/>
      <c r="P541" s="121"/>
      <c r="Q541" s="121"/>
      <c r="R541" s="120"/>
      <c r="S541" s="120"/>
      <c r="T541" s="120"/>
      <c r="U541" s="120"/>
      <c r="X541" s="92"/>
    </row>
    <row r="542" spans="14:24" x14ac:dyDescent="0.2">
      <c r="N542" s="120"/>
      <c r="O542" s="121"/>
      <c r="P542" s="121"/>
      <c r="Q542" s="121"/>
      <c r="R542" s="120"/>
      <c r="S542" s="120"/>
      <c r="T542" s="120"/>
      <c r="U542" s="120"/>
      <c r="X542" s="92"/>
    </row>
    <row r="543" spans="14:24" x14ac:dyDescent="0.2">
      <c r="N543" s="120"/>
      <c r="O543" s="121"/>
      <c r="P543" s="121"/>
      <c r="Q543" s="121"/>
      <c r="R543" s="120"/>
      <c r="S543" s="120"/>
      <c r="T543" s="120"/>
      <c r="U543" s="120"/>
      <c r="X543" s="92"/>
    </row>
    <row r="544" spans="14:24" x14ac:dyDescent="0.2">
      <c r="N544" s="120"/>
      <c r="O544" s="121"/>
      <c r="P544" s="121"/>
      <c r="Q544" s="121"/>
      <c r="R544" s="120"/>
      <c r="S544" s="120"/>
      <c r="T544" s="120"/>
      <c r="U544" s="120"/>
      <c r="X544" s="92"/>
    </row>
    <row r="545" spans="14:24" x14ac:dyDescent="0.2">
      <c r="N545" s="120"/>
      <c r="O545" s="121"/>
      <c r="P545" s="121"/>
      <c r="Q545" s="121"/>
      <c r="R545" s="120"/>
      <c r="S545" s="120"/>
      <c r="T545" s="120"/>
      <c r="U545" s="120"/>
      <c r="X545" s="92"/>
    </row>
    <row r="546" spans="14:24" x14ac:dyDescent="0.2">
      <c r="N546" s="120"/>
      <c r="O546" s="121"/>
      <c r="P546" s="121"/>
      <c r="Q546" s="121"/>
      <c r="R546" s="120"/>
      <c r="S546" s="120"/>
      <c r="T546" s="120"/>
      <c r="U546" s="120"/>
      <c r="X546" s="92"/>
    </row>
    <row r="547" spans="14:24" x14ac:dyDescent="0.2">
      <c r="N547" s="120"/>
      <c r="O547" s="121"/>
      <c r="P547" s="121"/>
      <c r="Q547" s="121"/>
      <c r="R547" s="120"/>
      <c r="S547" s="120"/>
      <c r="T547" s="120"/>
      <c r="U547" s="120"/>
      <c r="X547" s="92"/>
    </row>
    <row r="548" spans="14:24" x14ac:dyDescent="0.2">
      <c r="N548" s="120"/>
      <c r="O548" s="121"/>
      <c r="P548" s="121"/>
      <c r="Q548" s="121"/>
      <c r="R548" s="120"/>
      <c r="S548" s="120"/>
      <c r="T548" s="120"/>
      <c r="U548" s="120"/>
      <c r="X548" s="92"/>
    </row>
    <row r="549" spans="14:24" x14ac:dyDescent="0.2">
      <c r="N549" s="120"/>
      <c r="O549" s="121"/>
      <c r="P549" s="121"/>
      <c r="Q549" s="121"/>
      <c r="R549" s="120"/>
      <c r="S549" s="120"/>
      <c r="T549" s="120"/>
      <c r="U549" s="120"/>
      <c r="X549" s="92"/>
    </row>
    <row r="550" spans="14:24" x14ac:dyDescent="0.2">
      <c r="N550" s="120"/>
      <c r="O550" s="121"/>
      <c r="P550" s="121"/>
      <c r="Q550" s="121"/>
      <c r="R550" s="120"/>
      <c r="S550" s="120"/>
      <c r="T550" s="120"/>
      <c r="U550" s="120"/>
      <c r="X550" s="92"/>
    </row>
    <row r="551" spans="14:24" x14ac:dyDescent="0.2">
      <c r="N551" s="120"/>
      <c r="O551" s="121"/>
      <c r="P551" s="121"/>
      <c r="Q551" s="121"/>
      <c r="R551" s="120"/>
      <c r="S551" s="120"/>
      <c r="T551" s="120"/>
      <c r="U551" s="120"/>
      <c r="X551" s="92"/>
    </row>
    <row r="552" spans="14:24" x14ac:dyDescent="0.2">
      <c r="N552" s="120"/>
      <c r="O552" s="121"/>
      <c r="P552" s="121"/>
      <c r="Q552" s="121"/>
      <c r="R552" s="120"/>
      <c r="S552" s="120"/>
      <c r="T552" s="120"/>
      <c r="U552" s="120"/>
      <c r="X552" s="92"/>
    </row>
    <row r="553" spans="14:24" x14ac:dyDescent="0.2">
      <c r="N553" s="120"/>
      <c r="O553" s="121"/>
      <c r="P553" s="121"/>
      <c r="Q553" s="121"/>
      <c r="R553" s="120"/>
      <c r="S553" s="120"/>
      <c r="T553" s="120"/>
      <c r="U553" s="120"/>
      <c r="X553" s="92"/>
    </row>
    <row r="554" spans="14:24" x14ac:dyDescent="0.2">
      <c r="N554" s="120"/>
      <c r="O554" s="121"/>
      <c r="P554" s="121"/>
      <c r="Q554" s="121"/>
      <c r="R554" s="120"/>
      <c r="S554" s="120"/>
      <c r="T554" s="120"/>
      <c r="U554" s="120"/>
      <c r="X554" s="92"/>
    </row>
    <row r="555" spans="14:24" x14ac:dyDescent="0.2">
      <c r="N555" s="120"/>
      <c r="O555" s="121"/>
      <c r="P555" s="121"/>
      <c r="Q555" s="121"/>
      <c r="R555" s="120"/>
      <c r="S555" s="120"/>
      <c r="T555" s="120"/>
      <c r="U555" s="120"/>
      <c r="X555" s="92"/>
    </row>
    <row r="556" spans="14:24" x14ac:dyDescent="0.2">
      <c r="N556" s="120"/>
      <c r="O556" s="121"/>
      <c r="P556" s="121"/>
      <c r="Q556" s="121"/>
      <c r="R556" s="120"/>
      <c r="S556" s="120"/>
      <c r="T556" s="120"/>
      <c r="U556" s="120"/>
      <c r="X556" s="92"/>
    </row>
    <row r="557" spans="14:24" x14ac:dyDescent="0.2">
      <c r="N557" s="120"/>
      <c r="O557" s="121"/>
      <c r="P557" s="121"/>
      <c r="Q557" s="121"/>
      <c r="R557" s="120"/>
      <c r="S557" s="120"/>
      <c r="T557" s="120"/>
      <c r="U557" s="120"/>
      <c r="X557" s="92"/>
    </row>
    <row r="558" spans="14:24" x14ac:dyDescent="0.2">
      <c r="N558" s="120"/>
      <c r="O558" s="121"/>
      <c r="P558" s="121"/>
      <c r="Q558" s="121"/>
      <c r="R558" s="120"/>
      <c r="S558" s="120"/>
      <c r="T558" s="120"/>
      <c r="U558" s="120"/>
      <c r="X558" s="92"/>
    </row>
    <row r="559" spans="14:24" x14ac:dyDescent="0.2">
      <c r="N559" s="120"/>
      <c r="O559" s="121"/>
      <c r="P559" s="121"/>
      <c r="Q559" s="121"/>
      <c r="R559" s="120"/>
      <c r="S559" s="120"/>
      <c r="T559" s="120"/>
      <c r="U559" s="120"/>
      <c r="X559" s="92"/>
    </row>
    <row r="560" spans="14:24" x14ac:dyDescent="0.2">
      <c r="N560" s="120"/>
      <c r="O560" s="121"/>
      <c r="P560" s="121"/>
      <c r="Q560" s="121"/>
      <c r="R560" s="120"/>
      <c r="S560" s="120"/>
      <c r="T560" s="120"/>
      <c r="U560" s="120"/>
      <c r="X560" s="92"/>
    </row>
    <row r="561" spans="14:24" x14ac:dyDescent="0.2">
      <c r="N561" s="120"/>
      <c r="O561" s="121"/>
      <c r="P561" s="121"/>
      <c r="Q561" s="121"/>
      <c r="R561" s="120"/>
      <c r="S561" s="120"/>
      <c r="T561" s="120"/>
      <c r="U561" s="120"/>
      <c r="X561" s="92"/>
    </row>
    <row r="562" spans="14:24" x14ac:dyDescent="0.2">
      <c r="N562" s="120"/>
      <c r="O562" s="121"/>
      <c r="P562" s="121"/>
      <c r="Q562" s="121"/>
      <c r="R562" s="120"/>
      <c r="S562" s="120"/>
      <c r="T562" s="120"/>
      <c r="U562" s="120"/>
      <c r="X562" s="92"/>
    </row>
    <row r="563" spans="14:24" x14ac:dyDescent="0.2">
      <c r="N563" s="120"/>
      <c r="O563" s="121"/>
      <c r="P563" s="121"/>
      <c r="Q563" s="121"/>
      <c r="R563" s="120"/>
      <c r="S563" s="120"/>
      <c r="T563" s="120"/>
      <c r="U563" s="120"/>
      <c r="X563" s="92"/>
    </row>
    <row r="564" spans="14:24" x14ac:dyDescent="0.2">
      <c r="N564" s="120"/>
      <c r="O564" s="121"/>
      <c r="P564" s="121"/>
      <c r="Q564" s="121"/>
      <c r="R564" s="120"/>
      <c r="S564" s="120"/>
      <c r="T564" s="120"/>
      <c r="U564" s="120"/>
      <c r="X564" s="92"/>
    </row>
    <row r="565" spans="14:24" x14ac:dyDescent="0.2">
      <c r="N565" s="120"/>
      <c r="O565" s="121"/>
      <c r="P565" s="121"/>
      <c r="Q565" s="121"/>
      <c r="R565" s="120"/>
      <c r="S565" s="120"/>
      <c r="T565" s="120"/>
      <c r="U565" s="120"/>
      <c r="X565" s="92"/>
    </row>
    <row r="566" spans="14:24" x14ac:dyDescent="0.2">
      <c r="N566" s="120"/>
      <c r="O566" s="121"/>
      <c r="P566" s="121"/>
      <c r="Q566" s="121"/>
      <c r="R566" s="120"/>
      <c r="S566" s="120"/>
      <c r="T566" s="120"/>
      <c r="U566" s="120"/>
      <c r="X566" s="92"/>
    </row>
    <row r="567" spans="14:24" x14ac:dyDescent="0.2">
      <c r="N567" s="120"/>
      <c r="O567" s="121"/>
      <c r="P567" s="121"/>
      <c r="Q567" s="121"/>
      <c r="R567" s="120"/>
      <c r="S567" s="120"/>
      <c r="T567" s="120"/>
      <c r="U567" s="120"/>
      <c r="X567" s="92"/>
    </row>
    <row r="568" spans="14:24" x14ac:dyDescent="0.2">
      <c r="N568" s="120"/>
      <c r="O568" s="121"/>
      <c r="P568" s="121"/>
      <c r="Q568" s="121"/>
      <c r="R568" s="120"/>
      <c r="S568" s="120"/>
      <c r="T568" s="120"/>
      <c r="U568" s="120"/>
      <c r="X568" s="92"/>
    </row>
    <row r="569" spans="14:24" x14ac:dyDescent="0.2">
      <c r="N569" s="120"/>
      <c r="O569" s="121"/>
      <c r="P569" s="121"/>
      <c r="Q569" s="121"/>
      <c r="R569" s="120"/>
      <c r="S569" s="120"/>
      <c r="T569" s="120"/>
      <c r="U569" s="120"/>
      <c r="X569" s="92"/>
    </row>
    <row r="570" spans="14:24" x14ac:dyDescent="0.2">
      <c r="N570" s="120"/>
      <c r="O570" s="121"/>
      <c r="P570" s="121"/>
      <c r="Q570" s="121"/>
      <c r="R570" s="120"/>
      <c r="S570" s="120"/>
      <c r="T570" s="120"/>
      <c r="U570" s="120"/>
      <c r="X570" s="92"/>
    </row>
    <row r="571" spans="14:24" x14ac:dyDescent="0.2">
      <c r="N571" s="120"/>
      <c r="O571" s="121"/>
      <c r="P571" s="121"/>
      <c r="Q571" s="121"/>
      <c r="R571" s="120"/>
      <c r="S571" s="120"/>
      <c r="T571" s="120"/>
      <c r="U571" s="120"/>
      <c r="X571" s="92"/>
    </row>
    <row r="572" spans="14:24" x14ac:dyDescent="0.2">
      <c r="N572" s="120"/>
      <c r="O572" s="121"/>
      <c r="P572" s="121"/>
      <c r="Q572" s="121"/>
      <c r="R572" s="120"/>
      <c r="S572" s="120"/>
      <c r="T572" s="120"/>
      <c r="U572" s="120"/>
      <c r="X572" s="92"/>
    </row>
    <row r="573" spans="14:24" x14ac:dyDescent="0.2">
      <c r="N573" s="120"/>
      <c r="O573" s="121"/>
      <c r="P573" s="121"/>
      <c r="Q573" s="121"/>
      <c r="R573" s="120"/>
      <c r="S573" s="120"/>
      <c r="T573" s="120"/>
      <c r="U573" s="120"/>
      <c r="X573" s="92"/>
    </row>
    <row r="574" spans="14:24" x14ac:dyDescent="0.2">
      <c r="N574" s="120"/>
      <c r="O574" s="121"/>
      <c r="P574" s="121"/>
      <c r="Q574" s="121"/>
      <c r="R574" s="120"/>
      <c r="S574" s="120"/>
      <c r="T574" s="120"/>
      <c r="U574" s="120"/>
      <c r="X574" s="92"/>
    </row>
    <row r="575" spans="14:24" x14ac:dyDescent="0.2">
      <c r="N575" s="120"/>
      <c r="O575" s="121"/>
      <c r="P575" s="121"/>
      <c r="Q575" s="121"/>
      <c r="R575" s="120"/>
      <c r="S575" s="120"/>
      <c r="T575" s="120"/>
      <c r="U575" s="120"/>
      <c r="X575" s="92"/>
    </row>
    <row r="576" spans="14:24" x14ac:dyDescent="0.2">
      <c r="N576" s="120"/>
      <c r="O576" s="121"/>
      <c r="P576" s="121"/>
      <c r="Q576" s="121"/>
      <c r="R576" s="120"/>
      <c r="S576" s="120"/>
      <c r="T576" s="120"/>
      <c r="U576" s="120"/>
      <c r="X576" s="92"/>
    </row>
    <row r="577" spans="14:24" x14ac:dyDescent="0.2">
      <c r="N577" s="120"/>
      <c r="O577" s="121"/>
      <c r="P577" s="121"/>
      <c r="Q577" s="121"/>
      <c r="R577" s="120"/>
      <c r="S577" s="120"/>
      <c r="T577" s="120"/>
      <c r="U577" s="120"/>
      <c r="X577" s="92"/>
    </row>
    <row r="578" spans="14:24" x14ac:dyDescent="0.2">
      <c r="N578" s="120"/>
      <c r="O578" s="121"/>
      <c r="P578" s="121"/>
      <c r="Q578" s="121"/>
      <c r="R578" s="120"/>
      <c r="S578" s="120"/>
      <c r="T578" s="120"/>
      <c r="U578" s="120"/>
      <c r="X578" s="92"/>
    </row>
    <row r="579" spans="14:24" x14ac:dyDescent="0.2">
      <c r="N579" s="120"/>
      <c r="O579" s="121"/>
      <c r="P579" s="121"/>
      <c r="Q579" s="121"/>
      <c r="R579" s="120"/>
      <c r="S579" s="120"/>
      <c r="T579" s="120"/>
      <c r="U579" s="120"/>
      <c r="X579" s="92"/>
    </row>
    <row r="580" spans="14:24" x14ac:dyDescent="0.2">
      <c r="N580" s="120"/>
      <c r="O580" s="121"/>
      <c r="P580" s="121"/>
      <c r="Q580" s="121"/>
      <c r="R580" s="120"/>
      <c r="S580" s="120"/>
      <c r="T580" s="120"/>
      <c r="U580" s="120"/>
      <c r="X580" s="92"/>
    </row>
    <row r="581" spans="14:24" x14ac:dyDescent="0.2">
      <c r="N581" s="120"/>
      <c r="O581" s="121"/>
      <c r="P581" s="121"/>
      <c r="Q581" s="121"/>
      <c r="R581" s="120"/>
      <c r="S581" s="120"/>
      <c r="T581" s="120"/>
      <c r="U581" s="120"/>
      <c r="X581" s="92"/>
    </row>
    <row r="582" spans="14:24" x14ac:dyDescent="0.2">
      <c r="N582" s="120"/>
      <c r="O582" s="121"/>
      <c r="P582" s="121"/>
      <c r="Q582" s="121"/>
      <c r="R582" s="120"/>
      <c r="S582" s="120"/>
      <c r="T582" s="120"/>
      <c r="U582" s="120"/>
      <c r="X582" s="92"/>
    </row>
    <row r="583" spans="14:24" x14ac:dyDescent="0.2">
      <c r="N583" s="120"/>
      <c r="O583" s="121"/>
      <c r="P583" s="121"/>
      <c r="Q583" s="121"/>
      <c r="R583" s="120"/>
      <c r="S583" s="120"/>
      <c r="T583" s="120"/>
      <c r="U583" s="120"/>
      <c r="X583" s="92"/>
    </row>
    <row r="584" spans="14:24" x14ac:dyDescent="0.2">
      <c r="N584" s="120"/>
      <c r="O584" s="121"/>
      <c r="P584" s="121"/>
      <c r="Q584" s="121"/>
      <c r="R584" s="120"/>
      <c r="S584" s="120"/>
      <c r="T584" s="120"/>
      <c r="U584" s="120"/>
      <c r="X584" s="92"/>
    </row>
    <row r="585" spans="14:24" x14ac:dyDescent="0.2">
      <c r="N585" s="120"/>
      <c r="O585" s="121"/>
      <c r="P585" s="121"/>
      <c r="Q585" s="121"/>
      <c r="R585" s="120"/>
      <c r="S585" s="120"/>
      <c r="T585" s="120"/>
      <c r="U585" s="120"/>
      <c r="X585" s="92"/>
    </row>
    <row r="586" spans="14:24" x14ac:dyDescent="0.2">
      <c r="N586" s="120"/>
      <c r="O586" s="121"/>
      <c r="P586" s="121"/>
      <c r="Q586" s="121"/>
      <c r="R586" s="120"/>
      <c r="S586" s="120"/>
      <c r="T586" s="120"/>
      <c r="U586" s="120"/>
      <c r="X586" s="92"/>
    </row>
    <row r="587" spans="14:24" x14ac:dyDescent="0.2">
      <c r="N587" s="120"/>
      <c r="O587" s="121"/>
      <c r="P587" s="121"/>
      <c r="Q587" s="121"/>
      <c r="R587" s="120"/>
      <c r="S587" s="120"/>
      <c r="T587" s="120"/>
      <c r="U587" s="120"/>
      <c r="X587" s="92"/>
    </row>
    <row r="588" spans="14:24" x14ac:dyDescent="0.2">
      <c r="N588" s="120"/>
      <c r="O588" s="121"/>
      <c r="P588" s="121"/>
      <c r="Q588" s="121"/>
      <c r="R588" s="120"/>
      <c r="S588" s="120"/>
      <c r="T588" s="120"/>
      <c r="U588" s="120"/>
      <c r="X588" s="92"/>
    </row>
    <row r="589" spans="14:24" x14ac:dyDescent="0.2">
      <c r="N589" s="120"/>
      <c r="O589" s="121"/>
      <c r="P589" s="121"/>
      <c r="Q589" s="121"/>
      <c r="R589" s="120"/>
      <c r="S589" s="120"/>
      <c r="T589" s="120"/>
      <c r="U589" s="120"/>
      <c r="X589" s="92"/>
    </row>
    <row r="590" spans="14:24" x14ac:dyDescent="0.2">
      <c r="N590" s="120"/>
      <c r="O590" s="121"/>
      <c r="P590" s="121"/>
      <c r="Q590" s="121"/>
      <c r="R590" s="120"/>
      <c r="S590" s="120"/>
      <c r="T590" s="120"/>
      <c r="U590" s="120"/>
      <c r="X590" s="92"/>
    </row>
    <row r="591" spans="14:24" x14ac:dyDescent="0.2">
      <c r="N591" s="120"/>
      <c r="O591" s="121"/>
      <c r="P591" s="121"/>
      <c r="Q591" s="121"/>
      <c r="R591" s="120"/>
      <c r="S591" s="120"/>
      <c r="T591" s="120"/>
      <c r="U591" s="120"/>
      <c r="X591" s="92"/>
    </row>
    <row r="592" spans="14:24" x14ac:dyDescent="0.2">
      <c r="N592" s="120"/>
      <c r="O592" s="121"/>
      <c r="P592" s="121"/>
      <c r="Q592" s="121"/>
      <c r="R592" s="120"/>
      <c r="S592" s="120"/>
      <c r="T592" s="120"/>
      <c r="U592" s="120"/>
      <c r="X592" s="92"/>
    </row>
    <row r="593" spans="14:24" x14ac:dyDescent="0.2">
      <c r="N593" s="120"/>
      <c r="O593" s="121"/>
      <c r="P593" s="121"/>
      <c r="Q593" s="121"/>
      <c r="R593" s="120"/>
      <c r="S593" s="120"/>
      <c r="T593" s="120"/>
      <c r="U593" s="120"/>
      <c r="X593" s="92"/>
    </row>
    <row r="594" spans="14:24" x14ac:dyDescent="0.2">
      <c r="N594" s="120"/>
      <c r="O594" s="121"/>
      <c r="P594" s="121"/>
      <c r="Q594" s="121"/>
      <c r="R594" s="120"/>
      <c r="S594" s="120"/>
      <c r="T594" s="120"/>
      <c r="U594" s="120"/>
      <c r="X594" s="92"/>
    </row>
    <row r="595" spans="14:24" x14ac:dyDescent="0.2">
      <c r="N595" s="120"/>
      <c r="O595" s="121"/>
      <c r="P595" s="121"/>
      <c r="Q595" s="121"/>
      <c r="R595" s="120"/>
      <c r="S595" s="120"/>
      <c r="T595" s="120"/>
      <c r="U595" s="120"/>
      <c r="X595" s="92"/>
    </row>
    <row r="596" spans="14:24" x14ac:dyDescent="0.2">
      <c r="N596" s="120"/>
      <c r="O596" s="121"/>
      <c r="P596" s="121"/>
      <c r="Q596" s="121"/>
      <c r="R596" s="120"/>
      <c r="S596" s="120"/>
      <c r="T596" s="120"/>
      <c r="U596" s="120"/>
      <c r="X596" s="92"/>
    </row>
    <row r="597" spans="14:24" x14ac:dyDescent="0.2">
      <c r="N597" s="120"/>
      <c r="O597" s="121"/>
      <c r="P597" s="121"/>
      <c r="Q597" s="121"/>
      <c r="R597" s="120"/>
      <c r="S597" s="120"/>
      <c r="T597" s="120"/>
      <c r="U597" s="120"/>
      <c r="X597" s="92"/>
    </row>
    <row r="598" spans="14:24" x14ac:dyDescent="0.2">
      <c r="N598" s="120"/>
      <c r="O598" s="121"/>
      <c r="P598" s="121"/>
      <c r="Q598" s="121"/>
      <c r="R598" s="120"/>
      <c r="S598" s="120"/>
      <c r="T598" s="120"/>
      <c r="U598" s="120"/>
      <c r="X598" s="92"/>
    </row>
    <row r="599" spans="14:24" x14ac:dyDescent="0.2">
      <c r="N599" s="120"/>
      <c r="O599" s="121"/>
      <c r="P599" s="121"/>
      <c r="Q599" s="121"/>
      <c r="R599" s="120"/>
      <c r="S599" s="120"/>
      <c r="T599" s="120"/>
      <c r="U599" s="120"/>
      <c r="X599" s="92"/>
    </row>
    <row r="600" spans="14:24" x14ac:dyDescent="0.2">
      <c r="N600" s="120"/>
      <c r="O600" s="121"/>
      <c r="P600" s="121"/>
      <c r="Q600" s="121"/>
      <c r="R600" s="120"/>
      <c r="S600" s="120"/>
      <c r="T600" s="120"/>
      <c r="U600" s="120"/>
      <c r="X600" s="92"/>
    </row>
    <row r="601" spans="14:24" x14ac:dyDescent="0.2">
      <c r="N601" s="120"/>
      <c r="O601" s="121"/>
      <c r="P601" s="121"/>
      <c r="Q601" s="121"/>
      <c r="R601" s="120"/>
      <c r="S601" s="120"/>
      <c r="T601" s="120"/>
      <c r="U601" s="120"/>
      <c r="X601" s="92"/>
    </row>
    <row r="602" spans="14:24" x14ac:dyDescent="0.2">
      <c r="N602" s="120"/>
      <c r="O602" s="121"/>
      <c r="P602" s="121"/>
      <c r="Q602" s="121"/>
      <c r="R602" s="120"/>
      <c r="S602" s="120"/>
      <c r="T602" s="120"/>
      <c r="U602" s="120"/>
      <c r="X602" s="92"/>
    </row>
    <row r="603" spans="14:24" x14ac:dyDescent="0.2">
      <c r="N603" s="120"/>
      <c r="O603" s="121"/>
      <c r="P603" s="121"/>
      <c r="Q603" s="121"/>
      <c r="R603" s="120"/>
      <c r="S603" s="120"/>
      <c r="T603" s="120"/>
      <c r="U603" s="120"/>
      <c r="X603" s="92"/>
    </row>
    <row r="604" spans="14:24" x14ac:dyDescent="0.2">
      <c r="N604" s="120"/>
      <c r="O604" s="121"/>
      <c r="P604" s="121"/>
      <c r="Q604" s="121"/>
      <c r="R604" s="120"/>
      <c r="S604" s="120"/>
      <c r="T604" s="120"/>
      <c r="U604" s="120"/>
      <c r="X604" s="92"/>
    </row>
    <row r="605" spans="14:24" x14ac:dyDescent="0.2">
      <c r="N605" s="120"/>
      <c r="O605" s="121"/>
      <c r="P605" s="121"/>
      <c r="Q605" s="121"/>
      <c r="R605" s="120"/>
      <c r="S605" s="120"/>
      <c r="T605" s="120"/>
      <c r="U605" s="120"/>
      <c r="X605" s="92"/>
    </row>
    <row r="606" spans="14:24" x14ac:dyDescent="0.2">
      <c r="N606" s="120"/>
      <c r="O606" s="121"/>
      <c r="P606" s="121"/>
      <c r="Q606" s="121"/>
      <c r="R606" s="120"/>
      <c r="S606" s="120"/>
      <c r="T606" s="120"/>
      <c r="U606" s="120"/>
      <c r="X606" s="92"/>
    </row>
    <row r="607" spans="14:24" x14ac:dyDescent="0.2">
      <c r="N607" s="120"/>
      <c r="O607" s="121"/>
      <c r="P607" s="121"/>
      <c r="Q607" s="121"/>
      <c r="R607" s="120"/>
      <c r="S607" s="120"/>
      <c r="T607" s="120"/>
      <c r="U607" s="120"/>
      <c r="X607" s="92"/>
    </row>
    <row r="608" spans="14:24" x14ac:dyDescent="0.2">
      <c r="N608" s="120"/>
      <c r="O608" s="121"/>
      <c r="P608" s="121"/>
      <c r="Q608" s="121"/>
      <c r="R608" s="120"/>
      <c r="S608" s="120"/>
      <c r="T608" s="120"/>
      <c r="U608" s="120"/>
      <c r="X608" s="92"/>
    </row>
    <row r="609" spans="14:24" x14ac:dyDescent="0.2">
      <c r="N609" s="120"/>
      <c r="O609" s="121"/>
      <c r="P609" s="121"/>
      <c r="Q609" s="121"/>
      <c r="R609" s="120"/>
      <c r="S609" s="120"/>
      <c r="T609" s="120"/>
      <c r="U609" s="120"/>
      <c r="X609" s="92"/>
    </row>
    <row r="610" spans="14:24" x14ac:dyDescent="0.2">
      <c r="N610" s="120"/>
      <c r="O610" s="121"/>
      <c r="P610" s="121"/>
      <c r="Q610" s="121"/>
      <c r="R610" s="120"/>
      <c r="S610" s="120"/>
      <c r="T610" s="120"/>
      <c r="U610" s="120"/>
      <c r="X610" s="92"/>
    </row>
    <row r="611" spans="14:24" x14ac:dyDescent="0.2">
      <c r="N611" s="120"/>
      <c r="O611" s="121"/>
      <c r="P611" s="121"/>
      <c r="Q611" s="121"/>
      <c r="R611" s="120"/>
      <c r="S611" s="120"/>
      <c r="T611" s="120"/>
      <c r="U611" s="120"/>
      <c r="X611" s="92"/>
    </row>
    <row r="612" spans="14:24" x14ac:dyDescent="0.2">
      <c r="N612" s="120"/>
      <c r="O612" s="121"/>
      <c r="P612" s="121"/>
      <c r="Q612" s="121"/>
      <c r="R612" s="120"/>
      <c r="S612" s="120"/>
      <c r="T612" s="120"/>
      <c r="U612" s="120"/>
      <c r="X612" s="92"/>
    </row>
    <row r="613" spans="14:24" x14ac:dyDescent="0.2">
      <c r="N613" s="120"/>
      <c r="O613" s="121"/>
      <c r="P613" s="121"/>
      <c r="Q613" s="121"/>
      <c r="R613" s="120"/>
      <c r="S613" s="120"/>
      <c r="T613" s="120"/>
      <c r="U613" s="120"/>
      <c r="X613" s="92"/>
    </row>
    <row r="614" spans="14:24" x14ac:dyDescent="0.2">
      <c r="N614" s="120"/>
      <c r="O614" s="121"/>
      <c r="P614" s="121"/>
      <c r="Q614" s="121"/>
      <c r="R614" s="120"/>
      <c r="S614" s="120"/>
      <c r="T614" s="120"/>
      <c r="U614" s="120"/>
      <c r="X614" s="92"/>
    </row>
    <row r="615" spans="14:24" x14ac:dyDescent="0.2">
      <c r="N615" s="120"/>
      <c r="O615" s="121"/>
      <c r="P615" s="121"/>
      <c r="Q615" s="121"/>
      <c r="R615" s="120"/>
      <c r="S615" s="120"/>
      <c r="T615" s="120"/>
      <c r="U615" s="120"/>
      <c r="X615" s="92"/>
    </row>
    <row r="616" spans="14:24" x14ac:dyDescent="0.2">
      <c r="N616" s="120"/>
      <c r="O616" s="121"/>
      <c r="P616" s="121"/>
      <c r="Q616" s="121"/>
      <c r="R616" s="120"/>
      <c r="S616" s="120"/>
      <c r="T616" s="120"/>
      <c r="U616" s="120"/>
      <c r="X616" s="92"/>
    </row>
    <row r="617" spans="14:24" x14ac:dyDescent="0.2">
      <c r="N617" s="120"/>
      <c r="O617" s="121"/>
      <c r="P617" s="121"/>
      <c r="Q617" s="121"/>
      <c r="R617" s="120"/>
      <c r="S617" s="120"/>
      <c r="T617" s="120"/>
      <c r="U617" s="120"/>
      <c r="X617" s="92"/>
    </row>
    <row r="618" spans="14:24" x14ac:dyDescent="0.2">
      <c r="N618" s="120"/>
      <c r="O618" s="121"/>
      <c r="P618" s="121"/>
      <c r="Q618" s="121"/>
      <c r="R618" s="120"/>
      <c r="S618" s="120"/>
      <c r="T618" s="120"/>
      <c r="U618" s="120"/>
      <c r="X618" s="92"/>
    </row>
    <row r="619" spans="14:24" x14ac:dyDescent="0.2">
      <c r="N619" s="120"/>
      <c r="O619" s="121"/>
      <c r="P619" s="121"/>
      <c r="Q619" s="121"/>
      <c r="R619" s="120"/>
      <c r="S619" s="120"/>
      <c r="T619" s="120"/>
      <c r="U619" s="120"/>
      <c r="X619" s="92"/>
    </row>
    <row r="620" spans="14:24" x14ac:dyDescent="0.2">
      <c r="N620" s="120"/>
      <c r="O620" s="121"/>
      <c r="P620" s="121"/>
      <c r="Q620" s="121"/>
      <c r="R620" s="120"/>
      <c r="S620" s="120"/>
      <c r="T620" s="120"/>
      <c r="U620" s="120"/>
      <c r="X620" s="92"/>
    </row>
    <row r="621" spans="14:24" x14ac:dyDescent="0.2">
      <c r="N621" s="120"/>
      <c r="O621" s="121"/>
      <c r="P621" s="121"/>
      <c r="Q621" s="121"/>
      <c r="R621" s="120"/>
      <c r="S621" s="120"/>
      <c r="T621" s="120"/>
      <c r="U621" s="120"/>
      <c r="X621" s="92"/>
    </row>
    <row r="622" spans="14:24" x14ac:dyDescent="0.2">
      <c r="N622" s="120"/>
      <c r="O622" s="121"/>
      <c r="P622" s="121"/>
      <c r="Q622" s="121"/>
      <c r="R622" s="120"/>
      <c r="S622" s="120"/>
      <c r="T622" s="120"/>
      <c r="U622" s="120"/>
      <c r="X622" s="92"/>
    </row>
    <row r="623" spans="14:24" x14ac:dyDescent="0.2">
      <c r="N623" s="120"/>
      <c r="O623" s="121"/>
      <c r="P623" s="121"/>
      <c r="Q623" s="121"/>
      <c r="R623" s="120"/>
      <c r="S623" s="120"/>
      <c r="T623" s="120"/>
      <c r="U623" s="120"/>
      <c r="X623" s="92"/>
    </row>
    <row r="624" spans="14:24" x14ac:dyDescent="0.2">
      <c r="N624" s="120"/>
      <c r="O624" s="121"/>
      <c r="P624" s="121"/>
      <c r="Q624" s="121"/>
      <c r="R624" s="120"/>
      <c r="S624" s="120"/>
      <c r="T624" s="120"/>
      <c r="U624" s="120"/>
      <c r="X624" s="92"/>
    </row>
    <row r="625" spans="14:24" x14ac:dyDescent="0.2">
      <c r="N625" s="120"/>
      <c r="O625" s="121"/>
      <c r="P625" s="121"/>
      <c r="Q625" s="121"/>
      <c r="R625" s="120"/>
      <c r="S625" s="120"/>
      <c r="T625" s="120"/>
      <c r="U625" s="120"/>
      <c r="X625" s="92"/>
    </row>
    <row r="626" spans="14:24" x14ac:dyDescent="0.2">
      <c r="N626" s="120"/>
      <c r="O626" s="121"/>
      <c r="P626" s="121"/>
      <c r="Q626" s="121"/>
      <c r="R626" s="120"/>
      <c r="S626" s="120"/>
      <c r="T626" s="120"/>
      <c r="U626" s="120"/>
      <c r="X626" s="92"/>
    </row>
    <row r="627" spans="14:24" x14ac:dyDescent="0.2">
      <c r="N627" s="120"/>
      <c r="O627" s="121"/>
      <c r="P627" s="121"/>
      <c r="Q627" s="121"/>
      <c r="R627" s="120"/>
      <c r="S627" s="120"/>
      <c r="T627" s="120"/>
      <c r="U627" s="120"/>
      <c r="X627" s="92"/>
    </row>
    <row r="628" spans="14:24" x14ac:dyDescent="0.2">
      <c r="N628" s="120"/>
      <c r="O628" s="121"/>
      <c r="P628" s="121"/>
      <c r="Q628" s="121"/>
      <c r="R628" s="120"/>
      <c r="S628" s="120"/>
      <c r="T628" s="120"/>
      <c r="U628" s="120"/>
      <c r="X628" s="92"/>
    </row>
    <row r="629" spans="14:24" x14ac:dyDescent="0.2">
      <c r="N629" s="120"/>
      <c r="O629" s="121"/>
      <c r="P629" s="121"/>
      <c r="Q629" s="121"/>
      <c r="R629" s="120"/>
      <c r="S629" s="120"/>
      <c r="T629" s="120"/>
      <c r="U629" s="120"/>
      <c r="X629" s="92"/>
    </row>
    <row r="630" spans="14:24" x14ac:dyDescent="0.2">
      <c r="N630" s="120"/>
      <c r="O630" s="121"/>
      <c r="P630" s="121"/>
      <c r="Q630" s="121"/>
      <c r="R630" s="120"/>
      <c r="S630" s="120"/>
      <c r="T630" s="120"/>
      <c r="U630" s="120"/>
      <c r="X630" s="92"/>
    </row>
    <row r="631" spans="14:24" x14ac:dyDescent="0.2">
      <c r="N631" s="120"/>
      <c r="O631" s="121"/>
      <c r="P631" s="121"/>
      <c r="Q631" s="121"/>
      <c r="R631" s="120"/>
      <c r="S631" s="120"/>
      <c r="T631" s="120"/>
      <c r="U631" s="120"/>
      <c r="X631" s="92"/>
    </row>
    <row r="632" spans="14:24" x14ac:dyDescent="0.2">
      <c r="N632" s="120"/>
      <c r="O632" s="121"/>
      <c r="P632" s="121"/>
      <c r="Q632" s="121"/>
      <c r="R632" s="120"/>
      <c r="S632" s="120"/>
      <c r="T632" s="120"/>
      <c r="U632" s="120"/>
      <c r="X632" s="92"/>
    </row>
    <row r="633" spans="14:24" x14ac:dyDescent="0.2">
      <c r="N633" s="120"/>
      <c r="O633" s="121"/>
      <c r="P633" s="121"/>
      <c r="Q633" s="121"/>
      <c r="R633" s="120"/>
      <c r="S633" s="120"/>
      <c r="T633" s="120"/>
      <c r="U633" s="120"/>
      <c r="X633" s="92"/>
    </row>
    <row r="634" spans="14:24" x14ac:dyDescent="0.2">
      <c r="N634" s="120"/>
      <c r="O634" s="121"/>
      <c r="P634" s="121"/>
      <c r="Q634" s="121"/>
      <c r="R634" s="120"/>
      <c r="S634" s="120"/>
      <c r="T634" s="120"/>
      <c r="U634" s="120"/>
      <c r="X634" s="92"/>
    </row>
    <row r="635" spans="14:24" x14ac:dyDescent="0.2">
      <c r="N635" s="120"/>
      <c r="O635" s="121"/>
      <c r="P635" s="121"/>
      <c r="Q635" s="121"/>
      <c r="R635" s="120"/>
      <c r="S635" s="120"/>
      <c r="T635" s="120"/>
      <c r="U635" s="120"/>
      <c r="X635" s="92"/>
    </row>
    <row r="636" spans="14:24" x14ac:dyDescent="0.2">
      <c r="N636" s="120"/>
      <c r="O636" s="121"/>
      <c r="P636" s="121"/>
      <c r="Q636" s="121"/>
      <c r="R636" s="120"/>
      <c r="S636" s="120"/>
      <c r="T636" s="120"/>
      <c r="U636" s="120"/>
      <c r="X636" s="92"/>
    </row>
    <row r="637" spans="14:24" x14ac:dyDescent="0.2">
      <c r="N637" s="120"/>
      <c r="O637" s="121"/>
      <c r="P637" s="121"/>
      <c r="Q637" s="121"/>
      <c r="R637" s="120"/>
      <c r="S637" s="120"/>
      <c r="T637" s="120"/>
      <c r="U637" s="120"/>
      <c r="X637" s="92"/>
    </row>
    <row r="638" spans="14:24" x14ac:dyDescent="0.2">
      <c r="N638" s="120"/>
      <c r="O638" s="121"/>
      <c r="P638" s="121"/>
      <c r="Q638" s="121"/>
      <c r="R638" s="120"/>
      <c r="S638" s="120"/>
      <c r="T638" s="120"/>
      <c r="U638" s="120"/>
      <c r="X638" s="92"/>
    </row>
    <row r="639" spans="14:24" x14ac:dyDescent="0.2">
      <c r="N639" s="120"/>
      <c r="O639" s="121"/>
      <c r="P639" s="121"/>
      <c r="Q639" s="121"/>
      <c r="R639" s="120"/>
      <c r="S639" s="120"/>
      <c r="T639" s="120"/>
      <c r="U639" s="120"/>
      <c r="X639" s="92"/>
    </row>
    <row r="640" spans="14:24" x14ac:dyDescent="0.2">
      <c r="N640" s="120"/>
      <c r="O640" s="121"/>
      <c r="P640" s="121"/>
      <c r="Q640" s="121"/>
      <c r="R640" s="120"/>
      <c r="S640" s="120"/>
      <c r="T640" s="120"/>
      <c r="U640" s="120"/>
      <c r="X640" s="92"/>
    </row>
    <row r="641" spans="14:24" x14ac:dyDescent="0.2">
      <c r="N641" s="120"/>
      <c r="O641" s="121"/>
      <c r="P641" s="121"/>
      <c r="Q641" s="121"/>
      <c r="R641" s="120"/>
      <c r="S641" s="120"/>
      <c r="T641" s="120"/>
      <c r="U641" s="120"/>
      <c r="X641" s="92"/>
    </row>
    <row r="642" spans="14:24" x14ac:dyDescent="0.2">
      <c r="N642" s="120"/>
      <c r="O642" s="121"/>
      <c r="P642" s="121"/>
      <c r="Q642" s="121"/>
      <c r="R642" s="120"/>
      <c r="S642" s="120"/>
      <c r="T642" s="120"/>
      <c r="U642" s="120"/>
      <c r="X642" s="92"/>
    </row>
    <row r="643" spans="14:24" x14ac:dyDescent="0.2">
      <c r="N643" s="120"/>
      <c r="O643" s="121"/>
      <c r="P643" s="121"/>
      <c r="Q643" s="121"/>
      <c r="R643" s="120"/>
      <c r="S643" s="120"/>
      <c r="T643" s="120"/>
      <c r="U643" s="120"/>
      <c r="X643" s="92"/>
    </row>
    <row r="644" spans="14:24" x14ac:dyDescent="0.2">
      <c r="N644" s="120"/>
      <c r="O644" s="121"/>
      <c r="P644" s="121"/>
      <c r="Q644" s="121"/>
      <c r="R644" s="120"/>
      <c r="S644" s="120"/>
      <c r="T644" s="120"/>
      <c r="U644" s="120"/>
      <c r="X644" s="92"/>
    </row>
    <row r="645" spans="14:24" x14ac:dyDescent="0.2">
      <c r="N645" s="120"/>
      <c r="O645" s="121"/>
      <c r="P645" s="121"/>
      <c r="Q645" s="121"/>
      <c r="R645" s="120"/>
      <c r="S645" s="120"/>
      <c r="T645" s="120"/>
      <c r="U645" s="120"/>
      <c r="X645" s="92"/>
    </row>
    <row r="646" spans="14:24" x14ac:dyDescent="0.2">
      <c r="N646" s="120"/>
      <c r="O646" s="121"/>
      <c r="P646" s="121"/>
      <c r="Q646" s="121"/>
      <c r="R646" s="120"/>
      <c r="S646" s="120"/>
      <c r="T646" s="120"/>
      <c r="U646" s="120"/>
      <c r="X646" s="92"/>
    </row>
    <row r="647" spans="14:24" x14ac:dyDescent="0.2">
      <c r="N647" s="120"/>
      <c r="O647" s="121"/>
      <c r="P647" s="121"/>
      <c r="Q647" s="121"/>
      <c r="R647" s="120"/>
      <c r="S647" s="120"/>
      <c r="T647" s="120"/>
      <c r="U647" s="120"/>
      <c r="X647" s="92"/>
    </row>
    <row r="648" spans="14:24" x14ac:dyDescent="0.2">
      <c r="N648" s="120"/>
      <c r="O648" s="121"/>
      <c r="P648" s="121"/>
      <c r="Q648" s="121"/>
      <c r="R648" s="120"/>
      <c r="S648" s="120"/>
      <c r="T648" s="120"/>
      <c r="U648" s="120"/>
      <c r="X648" s="92"/>
    </row>
    <row r="649" spans="14:24" x14ac:dyDescent="0.2">
      <c r="N649" s="120"/>
      <c r="O649" s="121"/>
      <c r="P649" s="121"/>
      <c r="Q649" s="121"/>
      <c r="R649" s="120"/>
      <c r="S649" s="120"/>
      <c r="T649" s="120"/>
      <c r="U649" s="120"/>
      <c r="X649" s="92"/>
    </row>
    <row r="650" spans="14:24" x14ac:dyDescent="0.2">
      <c r="N650" s="120"/>
      <c r="O650" s="121"/>
      <c r="P650" s="121"/>
      <c r="Q650" s="121"/>
      <c r="R650" s="120"/>
      <c r="S650" s="120"/>
      <c r="T650" s="120"/>
      <c r="U650" s="120"/>
      <c r="X650" s="92"/>
    </row>
    <row r="651" spans="14:24" x14ac:dyDescent="0.2">
      <c r="N651" s="120"/>
      <c r="O651" s="121"/>
      <c r="P651" s="121"/>
      <c r="Q651" s="121"/>
      <c r="R651" s="120"/>
      <c r="S651" s="120"/>
      <c r="T651" s="120"/>
      <c r="U651" s="120"/>
      <c r="X651" s="92"/>
    </row>
    <row r="652" spans="14:24" x14ac:dyDescent="0.2">
      <c r="N652" s="120"/>
      <c r="O652" s="121"/>
      <c r="P652" s="121"/>
      <c r="Q652" s="121"/>
      <c r="R652" s="120"/>
      <c r="S652" s="120"/>
      <c r="T652" s="120"/>
      <c r="U652" s="120"/>
      <c r="X652" s="92"/>
    </row>
    <row r="653" spans="14:24" x14ac:dyDescent="0.2">
      <c r="N653" s="120"/>
      <c r="O653" s="121"/>
      <c r="P653" s="121"/>
      <c r="Q653" s="121"/>
      <c r="R653" s="120"/>
      <c r="S653" s="120"/>
      <c r="T653" s="120"/>
      <c r="U653" s="120"/>
      <c r="X653" s="92"/>
    </row>
    <row r="654" spans="14:24" x14ac:dyDescent="0.2">
      <c r="N654" s="120"/>
      <c r="O654" s="121"/>
      <c r="P654" s="121"/>
      <c r="Q654" s="121"/>
      <c r="R654" s="120"/>
      <c r="S654" s="120"/>
      <c r="T654" s="120"/>
      <c r="U654" s="120"/>
      <c r="X654" s="92"/>
    </row>
    <row r="655" spans="14:24" x14ac:dyDescent="0.2">
      <c r="N655" s="120"/>
      <c r="O655" s="121"/>
      <c r="P655" s="121"/>
      <c r="Q655" s="121"/>
      <c r="R655" s="120"/>
      <c r="S655" s="120"/>
      <c r="T655" s="120"/>
      <c r="U655" s="120"/>
      <c r="X655" s="92"/>
    </row>
    <row r="656" spans="14:24" x14ac:dyDescent="0.2">
      <c r="N656" s="120"/>
      <c r="O656" s="121"/>
      <c r="P656" s="121"/>
      <c r="Q656" s="121"/>
      <c r="R656" s="120"/>
      <c r="S656" s="120"/>
      <c r="T656" s="120"/>
      <c r="U656" s="120"/>
      <c r="X656" s="92"/>
    </row>
    <row r="657" spans="14:24" x14ac:dyDescent="0.2">
      <c r="N657" s="120"/>
      <c r="O657" s="121"/>
      <c r="P657" s="121"/>
      <c r="Q657" s="121"/>
      <c r="R657" s="120"/>
      <c r="S657" s="120"/>
      <c r="T657" s="120"/>
      <c r="U657" s="120"/>
      <c r="X657" s="92"/>
    </row>
    <row r="658" spans="14:24" x14ac:dyDescent="0.2">
      <c r="N658" s="120"/>
      <c r="O658" s="121"/>
      <c r="P658" s="121"/>
      <c r="Q658" s="121"/>
      <c r="R658" s="120"/>
      <c r="S658" s="120"/>
      <c r="T658" s="120"/>
      <c r="U658" s="120"/>
      <c r="X658" s="92"/>
    </row>
    <row r="659" spans="14:24" x14ac:dyDescent="0.2">
      <c r="N659" s="120"/>
      <c r="O659" s="121"/>
      <c r="P659" s="121"/>
      <c r="Q659" s="121"/>
      <c r="R659" s="120"/>
      <c r="S659" s="120"/>
      <c r="T659" s="120"/>
      <c r="U659" s="120"/>
      <c r="X659" s="92"/>
    </row>
    <row r="660" spans="14:24" x14ac:dyDescent="0.2">
      <c r="N660" s="120"/>
      <c r="O660" s="121"/>
      <c r="P660" s="121"/>
      <c r="Q660" s="121"/>
      <c r="R660" s="120"/>
      <c r="S660" s="120"/>
      <c r="T660" s="120"/>
      <c r="U660" s="120"/>
      <c r="X660" s="92"/>
    </row>
    <row r="661" spans="14:24" x14ac:dyDescent="0.2">
      <c r="N661" s="120"/>
      <c r="O661" s="121"/>
      <c r="P661" s="121"/>
      <c r="Q661" s="121"/>
      <c r="R661" s="120"/>
      <c r="S661" s="120"/>
      <c r="T661" s="120"/>
      <c r="U661" s="120"/>
      <c r="X661" s="92"/>
    </row>
    <row r="662" spans="14:24" x14ac:dyDescent="0.2">
      <c r="N662" s="120"/>
      <c r="O662" s="121"/>
      <c r="P662" s="121"/>
      <c r="Q662" s="121"/>
      <c r="R662" s="120"/>
      <c r="S662" s="120"/>
      <c r="T662" s="120"/>
      <c r="U662" s="120"/>
      <c r="X662" s="92"/>
    </row>
    <row r="663" spans="14:24" x14ac:dyDescent="0.2">
      <c r="N663" s="120"/>
      <c r="O663" s="121"/>
      <c r="P663" s="121"/>
      <c r="Q663" s="121"/>
      <c r="R663" s="120"/>
      <c r="S663" s="120"/>
      <c r="T663" s="120"/>
      <c r="U663" s="120"/>
      <c r="X663" s="92"/>
    </row>
    <row r="664" spans="14:24" x14ac:dyDescent="0.2">
      <c r="N664" s="120"/>
      <c r="O664" s="121"/>
      <c r="P664" s="121"/>
      <c r="Q664" s="121"/>
      <c r="R664" s="120"/>
      <c r="S664" s="120"/>
      <c r="T664" s="120"/>
      <c r="U664" s="120"/>
      <c r="X664" s="92"/>
    </row>
    <row r="665" spans="14:24" x14ac:dyDescent="0.2">
      <c r="N665" s="120"/>
      <c r="O665" s="121"/>
      <c r="P665" s="121"/>
      <c r="Q665" s="121"/>
      <c r="R665" s="120"/>
      <c r="S665" s="120"/>
      <c r="T665" s="120"/>
      <c r="U665" s="120"/>
      <c r="X665" s="92"/>
    </row>
    <row r="666" spans="14:24" x14ac:dyDescent="0.2">
      <c r="N666" s="120"/>
      <c r="O666" s="121"/>
      <c r="P666" s="121"/>
      <c r="Q666" s="121"/>
      <c r="R666" s="120"/>
      <c r="S666" s="120"/>
      <c r="T666" s="120"/>
      <c r="U666" s="120"/>
      <c r="X666" s="92"/>
    </row>
    <row r="667" spans="14:24" x14ac:dyDescent="0.2">
      <c r="N667" s="120"/>
      <c r="O667" s="121"/>
      <c r="P667" s="121"/>
      <c r="Q667" s="121"/>
      <c r="R667" s="120"/>
      <c r="S667" s="120"/>
      <c r="T667" s="120"/>
      <c r="U667" s="120"/>
      <c r="X667" s="92"/>
    </row>
    <row r="668" spans="14:24" x14ac:dyDescent="0.2">
      <c r="N668" s="120"/>
      <c r="O668" s="121"/>
      <c r="P668" s="121"/>
      <c r="Q668" s="121"/>
      <c r="R668" s="120"/>
      <c r="S668" s="120"/>
      <c r="T668" s="120"/>
      <c r="U668" s="120"/>
      <c r="X668" s="92"/>
    </row>
    <row r="669" spans="14:24" x14ac:dyDescent="0.2">
      <c r="N669" s="120"/>
      <c r="O669" s="121"/>
      <c r="P669" s="121"/>
      <c r="Q669" s="121"/>
      <c r="R669" s="120"/>
      <c r="S669" s="120"/>
      <c r="T669" s="120"/>
      <c r="U669" s="120"/>
      <c r="X669" s="92"/>
    </row>
    <row r="670" spans="14:24" x14ac:dyDescent="0.2">
      <c r="N670" s="120"/>
      <c r="O670" s="121"/>
      <c r="P670" s="121"/>
      <c r="Q670" s="121"/>
      <c r="R670" s="120"/>
      <c r="S670" s="120"/>
      <c r="T670" s="120"/>
      <c r="U670" s="120"/>
      <c r="X670" s="92"/>
    </row>
    <row r="671" spans="14:24" x14ac:dyDescent="0.2">
      <c r="N671" s="120"/>
      <c r="O671" s="121"/>
      <c r="P671" s="121"/>
      <c r="Q671" s="121"/>
      <c r="R671" s="120"/>
      <c r="S671" s="120"/>
      <c r="T671" s="120"/>
      <c r="U671" s="120"/>
      <c r="X671" s="92"/>
    </row>
    <row r="672" spans="14:24" x14ac:dyDescent="0.2">
      <c r="N672" s="120"/>
      <c r="O672" s="121"/>
      <c r="P672" s="121"/>
      <c r="Q672" s="121"/>
      <c r="R672" s="120"/>
      <c r="S672" s="120"/>
      <c r="T672" s="120"/>
      <c r="U672" s="120"/>
      <c r="X672" s="92"/>
    </row>
    <row r="673" spans="14:24" x14ac:dyDescent="0.2">
      <c r="N673" s="120"/>
      <c r="O673" s="121"/>
      <c r="P673" s="121"/>
      <c r="Q673" s="121"/>
      <c r="R673" s="120"/>
      <c r="S673" s="120"/>
      <c r="T673" s="120"/>
      <c r="U673" s="120"/>
      <c r="X673" s="92"/>
    </row>
    <row r="674" spans="14:24" x14ac:dyDescent="0.2">
      <c r="N674" s="120"/>
      <c r="O674" s="121"/>
      <c r="P674" s="121"/>
      <c r="Q674" s="121"/>
      <c r="R674" s="120"/>
      <c r="S674" s="120"/>
      <c r="T674" s="120"/>
      <c r="U674" s="120"/>
      <c r="X674" s="92"/>
    </row>
    <row r="675" spans="14:24" x14ac:dyDescent="0.2">
      <c r="N675" s="120"/>
      <c r="O675" s="121"/>
      <c r="P675" s="121"/>
      <c r="Q675" s="121"/>
      <c r="R675" s="120"/>
      <c r="S675" s="120"/>
      <c r="T675" s="120"/>
      <c r="U675" s="120"/>
      <c r="X675" s="92"/>
    </row>
    <row r="676" spans="14:24" x14ac:dyDescent="0.2">
      <c r="N676" s="120"/>
      <c r="O676" s="121"/>
      <c r="P676" s="121"/>
      <c r="Q676" s="121"/>
      <c r="R676" s="120"/>
      <c r="S676" s="120"/>
      <c r="T676" s="120"/>
      <c r="U676" s="120"/>
      <c r="X676" s="92"/>
    </row>
    <row r="677" spans="14:24" x14ac:dyDescent="0.2">
      <c r="N677" s="120"/>
      <c r="O677" s="121"/>
      <c r="P677" s="121"/>
      <c r="Q677" s="121"/>
      <c r="R677" s="120"/>
      <c r="S677" s="120"/>
      <c r="T677" s="120"/>
      <c r="U677" s="120"/>
      <c r="X677" s="92"/>
    </row>
    <row r="678" spans="14:24" x14ac:dyDescent="0.2">
      <c r="N678" s="120"/>
      <c r="O678" s="121"/>
      <c r="P678" s="121"/>
      <c r="Q678" s="121"/>
      <c r="R678" s="120"/>
      <c r="S678" s="120"/>
      <c r="T678" s="120"/>
      <c r="U678" s="120"/>
      <c r="X678" s="92"/>
    </row>
    <row r="679" spans="14:24" x14ac:dyDescent="0.2">
      <c r="N679" s="120"/>
      <c r="O679" s="121"/>
      <c r="P679" s="121"/>
      <c r="Q679" s="121"/>
      <c r="R679" s="120"/>
      <c r="S679" s="120"/>
      <c r="T679" s="120"/>
      <c r="U679" s="120"/>
      <c r="X679" s="92"/>
    </row>
    <row r="680" spans="14:24" x14ac:dyDescent="0.2">
      <c r="N680" s="120"/>
      <c r="O680" s="121"/>
      <c r="P680" s="121"/>
      <c r="Q680" s="121"/>
      <c r="R680" s="120"/>
      <c r="S680" s="120"/>
      <c r="T680" s="120"/>
      <c r="U680" s="120"/>
      <c r="X680" s="92"/>
    </row>
    <row r="681" spans="14:24" x14ac:dyDescent="0.2">
      <c r="N681" s="120"/>
      <c r="O681" s="121"/>
      <c r="P681" s="121"/>
      <c r="Q681" s="121"/>
      <c r="R681" s="120"/>
      <c r="S681" s="120"/>
      <c r="T681" s="120"/>
      <c r="U681" s="120"/>
      <c r="X681" s="92"/>
    </row>
    <row r="682" spans="14:24" x14ac:dyDescent="0.2">
      <c r="N682" s="120"/>
      <c r="O682" s="121"/>
      <c r="P682" s="121"/>
      <c r="Q682" s="121"/>
      <c r="R682" s="120"/>
      <c r="S682" s="120"/>
      <c r="T682" s="120"/>
      <c r="U682" s="120"/>
      <c r="X682" s="92"/>
    </row>
    <row r="683" spans="14:24" x14ac:dyDescent="0.2">
      <c r="N683" s="120"/>
      <c r="O683" s="121"/>
      <c r="P683" s="121"/>
      <c r="Q683" s="121"/>
      <c r="R683" s="120"/>
      <c r="S683" s="120"/>
      <c r="T683" s="120"/>
      <c r="U683" s="120"/>
      <c r="X683" s="92"/>
    </row>
    <row r="684" spans="14:24" x14ac:dyDescent="0.2">
      <c r="N684" s="120"/>
      <c r="O684" s="121"/>
      <c r="P684" s="121"/>
      <c r="Q684" s="121"/>
      <c r="R684" s="120"/>
      <c r="S684" s="120"/>
      <c r="T684" s="120"/>
      <c r="U684" s="120"/>
      <c r="X684" s="92"/>
    </row>
    <row r="685" spans="14:24" x14ac:dyDescent="0.2">
      <c r="N685" s="120"/>
      <c r="O685" s="121"/>
      <c r="P685" s="121"/>
      <c r="Q685" s="121"/>
      <c r="R685" s="120"/>
      <c r="S685" s="120"/>
      <c r="T685" s="120"/>
      <c r="U685" s="120"/>
      <c r="X685" s="92"/>
    </row>
    <row r="686" spans="14:24" x14ac:dyDescent="0.2">
      <c r="N686" s="120"/>
      <c r="O686" s="121"/>
      <c r="P686" s="121"/>
      <c r="Q686" s="121"/>
      <c r="R686" s="120"/>
      <c r="S686" s="120"/>
      <c r="T686" s="120"/>
      <c r="U686" s="120"/>
      <c r="X686" s="92"/>
    </row>
    <row r="687" spans="14:24" x14ac:dyDescent="0.2">
      <c r="N687" s="120"/>
      <c r="O687" s="121"/>
      <c r="P687" s="121"/>
      <c r="Q687" s="121"/>
      <c r="R687" s="120"/>
      <c r="S687" s="120"/>
      <c r="T687" s="120"/>
      <c r="U687" s="120"/>
      <c r="X687" s="92"/>
    </row>
    <row r="688" spans="14:24" x14ac:dyDescent="0.2">
      <c r="N688" s="120"/>
      <c r="O688" s="121"/>
      <c r="P688" s="121"/>
      <c r="Q688" s="121"/>
      <c r="R688" s="120"/>
      <c r="S688" s="120"/>
      <c r="T688" s="120"/>
      <c r="U688" s="120"/>
      <c r="X688" s="92"/>
    </row>
    <row r="689" spans="14:24" x14ac:dyDescent="0.2">
      <c r="N689" s="120"/>
      <c r="O689" s="121"/>
      <c r="P689" s="121"/>
      <c r="Q689" s="121"/>
      <c r="R689" s="120"/>
      <c r="S689" s="120"/>
      <c r="T689" s="120"/>
      <c r="U689" s="120"/>
      <c r="X689" s="92"/>
    </row>
    <row r="690" spans="14:24" x14ac:dyDescent="0.2">
      <c r="N690" s="120"/>
      <c r="O690" s="121"/>
      <c r="P690" s="121"/>
      <c r="Q690" s="121"/>
      <c r="R690" s="120"/>
      <c r="S690" s="120"/>
      <c r="T690" s="120"/>
      <c r="U690" s="120"/>
      <c r="X690" s="92"/>
    </row>
    <row r="691" spans="14:24" x14ac:dyDescent="0.2">
      <c r="N691" s="120"/>
      <c r="O691" s="121"/>
      <c r="P691" s="121"/>
      <c r="Q691" s="121"/>
      <c r="R691" s="120"/>
      <c r="S691" s="120"/>
      <c r="T691" s="120"/>
      <c r="U691" s="120"/>
      <c r="X691" s="92"/>
    </row>
    <row r="692" spans="14:24" x14ac:dyDescent="0.2">
      <c r="N692" s="120"/>
      <c r="O692" s="121"/>
      <c r="P692" s="121"/>
      <c r="Q692" s="121"/>
      <c r="R692" s="120"/>
      <c r="S692" s="120"/>
      <c r="T692" s="120"/>
      <c r="U692" s="120"/>
      <c r="X692" s="92"/>
    </row>
    <row r="693" spans="14:24" x14ac:dyDescent="0.2">
      <c r="N693" s="120"/>
      <c r="O693" s="121"/>
      <c r="P693" s="121"/>
      <c r="Q693" s="121"/>
      <c r="R693" s="120"/>
      <c r="S693" s="120"/>
      <c r="T693" s="120"/>
      <c r="U693" s="120"/>
      <c r="X693" s="92"/>
    </row>
    <row r="694" spans="14:24" x14ac:dyDescent="0.2">
      <c r="N694" s="120"/>
      <c r="O694" s="121"/>
      <c r="P694" s="121"/>
      <c r="Q694" s="121"/>
      <c r="R694" s="120"/>
      <c r="S694" s="120"/>
      <c r="T694" s="120"/>
      <c r="U694" s="120"/>
      <c r="X694" s="92"/>
    </row>
    <row r="695" spans="14:24" x14ac:dyDescent="0.2">
      <c r="N695" s="120"/>
      <c r="O695" s="121"/>
      <c r="P695" s="121"/>
      <c r="Q695" s="121"/>
      <c r="R695" s="120"/>
      <c r="S695" s="120"/>
      <c r="T695" s="120"/>
      <c r="U695" s="120"/>
      <c r="X695" s="92"/>
    </row>
    <row r="696" spans="14:24" x14ac:dyDescent="0.2">
      <c r="N696" s="120"/>
      <c r="O696" s="121"/>
      <c r="P696" s="121"/>
      <c r="Q696" s="121"/>
      <c r="R696" s="120"/>
      <c r="S696" s="120"/>
      <c r="T696" s="120"/>
      <c r="U696" s="120"/>
      <c r="X696" s="92"/>
    </row>
    <row r="697" spans="14:24" x14ac:dyDescent="0.2">
      <c r="N697" s="120"/>
      <c r="O697" s="121"/>
      <c r="P697" s="121"/>
      <c r="Q697" s="121"/>
      <c r="R697" s="120"/>
      <c r="S697" s="120"/>
      <c r="T697" s="120"/>
      <c r="U697" s="120"/>
      <c r="X697" s="92"/>
    </row>
    <row r="698" spans="14:24" x14ac:dyDescent="0.2">
      <c r="N698" s="120"/>
      <c r="O698" s="121"/>
      <c r="P698" s="121"/>
      <c r="Q698" s="121"/>
      <c r="R698" s="120"/>
      <c r="S698" s="120"/>
      <c r="T698" s="120"/>
      <c r="U698" s="120"/>
      <c r="X698" s="92"/>
    </row>
    <row r="699" spans="14:24" x14ac:dyDescent="0.2">
      <c r="N699" s="120"/>
      <c r="O699" s="121"/>
      <c r="P699" s="121"/>
      <c r="Q699" s="121"/>
      <c r="R699" s="120"/>
      <c r="S699" s="120"/>
      <c r="T699" s="120"/>
      <c r="U699" s="120"/>
      <c r="X699" s="92"/>
    </row>
    <row r="700" spans="14:24" x14ac:dyDescent="0.2">
      <c r="N700" s="120"/>
      <c r="O700" s="121"/>
      <c r="P700" s="121"/>
      <c r="Q700" s="121"/>
      <c r="R700" s="120"/>
      <c r="S700" s="120"/>
      <c r="T700" s="120"/>
      <c r="U700" s="120"/>
      <c r="X700" s="92"/>
    </row>
    <row r="701" spans="14:24" x14ac:dyDescent="0.2">
      <c r="N701" s="120"/>
      <c r="O701" s="121"/>
      <c r="P701" s="121"/>
      <c r="Q701" s="121"/>
      <c r="R701" s="120"/>
      <c r="S701" s="120"/>
      <c r="T701" s="120"/>
      <c r="U701" s="120"/>
      <c r="X701" s="92"/>
    </row>
    <row r="702" spans="14:24" x14ac:dyDescent="0.2">
      <c r="N702" s="120"/>
      <c r="O702" s="121"/>
      <c r="P702" s="121"/>
      <c r="Q702" s="121"/>
      <c r="R702" s="120"/>
      <c r="S702" s="120"/>
      <c r="T702" s="120"/>
      <c r="U702" s="120"/>
      <c r="X702" s="92"/>
    </row>
    <row r="703" spans="14:24" x14ac:dyDescent="0.2">
      <c r="N703" s="120"/>
      <c r="O703" s="121"/>
      <c r="P703" s="121"/>
      <c r="Q703" s="121"/>
      <c r="R703" s="120"/>
      <c r="S703" s="120"/>
      <c r="T703" s="120"/>
      <c r="U703" s="120"/>
      <c r="X703" s="92"/>
    </row>
    <row r="704" spans="14:24" x14ac:dyDescent="0.2">
      <c r="N704" s="120"/>
      <c r="O704" s="121"/>
      <c r="P704" s="121"/>
      <c r="Q704" s="121"/>
      <c r="R704" s="120"/>
      <c r="S704" s="120"/>
      <c r="T704" s="120"/>
      <c r="U704" s="120"/>
      <c r="X704" s="92"/>
    </row>
    <row r="705" spans="14:24" x14ac:dyDescent="0.2">
      <c r="N705" s="120"/>
      <c r="O705" s="121"/>
      <c r="P705" s="121"/>
      <c r="Q705" s="121"/>
      <c r="R705" s="120"/>
      <c r="S705" s="120"/>
      <c r="T705" s="120"/>
      <c r="U705" s="120"/>
      <c r="X705" s="92"/>
    </row>
    <row r="706" spans="14:24" x14ac:dyDescent="0.2">
      <c r="N706" s="120"/>
      <c r="O706" s="121"/>
      <c r="P706" s="121"/>
      <c r="Q706" s="121"/>
      <c r="R706" s="120"/>
      <c r="S706" s="120"/>
      <c r="T706" s="120"/>
      <c r="U706" s="120"/>
      <c r="X706" s="92"/>
    </row>
    <row r="707" spans="14:24" x14ac:dyDescent="0.2">
      <c r="N707" s="120"/>
      <c r="O707" s="121"/>
      <c r="P707" s="121"/>
      <c r="Q707" s="121"/>
      <c r="R707" s="120"/>
      <c r="S707" s="120"/>
      <c r="T707" s="120"/>
      <c r="U707" s="120"/>
      <c r="X707" s="92"/>
    </row>
    <row r="708" spans="14:24" x14ac:dyDescent="0.2">
      <c r="N708" s="120"/>
      <c r="O708" s="121"/>
      <c r="P708" s="121"/>
      <c r="Q708" s="121"/>
      <c r="R708" s="120"/>
      <c r="S708" s="120"/>
      <c r="T708" s="120"/>
      <c r="U708" s="120"/>
      <c r="X708" s="92"/>
    </row>
    <row r="709" spans="14:24" x14ac:dyDescent="0.2">
      <c r="N709" s="120"/>
      <c r="O709" s="121"/>
      <c r="P709" s="121"/>
      <c r="Q709" s="121"/>
      <c r="R709" s="120"/>
      <c r="S709" s="120"/>
      <c r="T709" s="120"/>
      <c r="U709" s="120"/>
      <c r="X709" s="92"/>
    </row>
    <row r="710" spans="14:24" x14ac:dyDescent="0.2">
      <c r="N710" s="120"/>
      <c r="O710" s="121"/>
      <c r="P710" s="121"/>
      <c r="Q710" s="121"/>
      <c r="R710" s="120"/>
      <c r="S710" s="120"/>
      <c r="T710" s="120"/>
      <c r="U710" s="120"/>
      <c r="X710" s="92"/>
    </row>
    <row r="711" spans="14:24" x14ac:dyDescent="0.2">
      <c r="N711" s="120"/>
      <c r="O711" s="121"/>
      <c r="P711" s="121"/>
      <c r="Q711" s="121"/>
      <c r="R711" s="120"/>
      <c r="S711" s="120"/>
      <c r="T711" s="120"/>
      <c r="U711" s="120"/>
      <c r="X711" s="92"/>
    </row>
    <row r="712" spans="14:24" x14ac:dyDescent="0.2">
      <c r="N712" s="120"/>
      <c r="O712" s="121"/>
      <c r="P712" s="121"/>
      <c r="Q712" s="121"/>
      <c r="R712" s="120"/>
      <c r="S712" s="120"/>
      <c r="T712" s="120"/>
      <c r="U712" s="120"/>
      <c r="X712" s="92"/>
    </row>
    <row r="713" spans="14:24" x14ac:dyDescent="0.2">
      <c r="N713" s="120"/>
      <c r="O713" s="121"/>
      <c r="P713" s="121"/>
      <c r="Q713" s="121"/>
      <c r="R713" s="120"/>
      <c r="S713" s="120"/>
      <c r="T713" s="120"/>
      <c r="U713" s="120"/>
      <c r="X713" s="92"/>
    </row>
    <row r="714" spans="14:24" x14ac:dyDescent="0.2">
      <c r="N714" s="120"/>
      <c r="O714" s="121"/>
      <c r="P714" s="121"/>
      <c r="Q714" s="121"/>
      <c r="R714" s="120"/>
      <c r="S714" s="120"/>
      <c r="T714" s="120"/>
      <c r="U714" s="120"/>
      <c r="X714" s="92"/>
    </row>
    <row r="715" spans="14:24" x14ac:dyDescent="0.2">
      <c r="N715" s="120"/>
      <c r="O715" s="121"/>
      <c r="P715" s="121"/>
      <c r="Q715" s="121"/>
      <c r="R715" s="120"/>
      <c r="S715" s="120"/>
      <c r="T715" s="120"/>
      <c r="U715" s="120"/>
      <c r="X715" s="92"/>
    </row>
    <row r="716" spans="14:24" x14ac:dyDescent="0.2">
      <c r="N716" s="120"/>
      <c r="O716" s="121"/>
      <c r="P716" s="121"/>
      <c r="Q716" s="121"/>
      <c r="R716" s="120"/>
      <c r="S716" s="120"/>
      <c r="T716" s="120"/>
      <c r="U716" s="120"/>
      <c r="X716" s="92"/>
    </row>
    <row r="717" spans="14:24" x14ac:dyDescent="0.2">
      <c r="N717" s="120"/>
      <c r="O717" s="121"/>
      <c r="P717" s="121"/>
      <c r="Q717" s="121"/>
      <c r="R717" s="120"/>
      <c r="S717" s="120"/>
      <c r="T717" s="120"/>
      <c r="U717" s="120"/>
      <c r="X717" s="92"/>
    </row>
    <row r="718" spans="14:24" x14ac:dyDescent="0.2">
      <c r="N718" s="120"/>
      <c r="O718" s="121"/>
      <c r="P718" s="121"/>
      <c r="Q718" s="121"/>
      <c r="R718" s="120"/>
      <c r="S718" s="120"/>
      <c r="T718" s="120"/>
      <c r="U718" s="120"/>
      <c r="X718" s="92"/>
    </row>
    <row r="719" spans="14:24" x14ac:dyDescent="0.2">
      <c r="N719" s="120"/>
      <c r="O719" s="121"/>
      <c r="P719" s="121"/>
      <c r="Q719" s="121"/>
      <c r="R719" s="120"/>
      <c r="S719" s="120"/>
      <c r="T719" s="120"/>
      <c r="U719" s="120"/>
      <c r="X719" s="92"/>
    </row>
    <row r="720" spans="14:24" x14ac:dyDescent="0.2">
      <c r="N720" s="120"/>
      <c r="O720" s="121"/>
      <c r="P720" s="121"/>
      <c r="Q720" s="121"/>
      <c r="R720" s="120"/>
      <c r="S720" s="120"/>
      <c r="T720" s="120"/>
      <c r="U720" s="120"/>
      <c r="X720" s="92"/>
    </row>
    <row r="721" spans="14:24" x14ac:dyDescent="0.2">
      <c r="N721" s="120"/>
      <c r="O721" s="121"/>
      <c r="P721" s="121"/>
      <c r="Q721" s="121"/>
      <c r="R721" s="120"/>
      <c r="S721" s="120"/>
      <c r="T721" s="120"/>
      <c r="U721" s="120"/>
      <c r="X721" s="92"/>
    </row>
    <row r="722" spans="14:24" x14ac:dyDescent="0.2">
      <c r="N722" s="120"/>
      <c r="O722" s="121"/>
      <c r="P722" s="121"/>
      <c r="Q722" s="121"/>
      <c r="R722" s="120"/>
      <c r="S722" s="120"/>
      <c r="T722" s="120"/>
      <c r="U722" s="120"/>
      <c r="X722" s="92"/>
    </row>
    <row r="723" spans="14:24" x14ac:dyDescent="0.2">
      <c r="N723" s="120"/>
      <c r="O723" s="121"/>
      <c r="P723" s="121"/>
      <c r="Q723" s="121"/>
      <c r="R723" s="120"/>
      <c r="S723" s="120"/>
      <c r="T723" s="120"/>
      <c r="U723" s="120"/>
      <c r="X723" s="92"/>
    </row>
    <row r="724" spans="14:24" x14ac:dyDescent="0.2">
      <c r="N724" s="120"/>
      <c r="O724" s="121"/>
      <c r="P724" s="121"/>
      <c r="Q724" s="121"/>
      <c r="R724" s="120"/>
      <c r="S724" s="120"/>
      <c r="T724" s="120"/>
      <c r="U724" s="120"/>
      <c r="X724" s="92"/>
    </row>
    <row r="725" spans="14:24" x14ac:dyDescent="0.2">
      <c r="N725" s="120"/>
      <c r="O725" s="121"/>
      <c r="P725" s="121"/>
      <c r="Q725" s="121"/>
      <c r="R725" s="120"/>
      <c r="S725" s="120"/>
      <c r="T725" s="120"/>
      <c r="U725" s="120"/>
      <c r="X725" s="92"/>
    </row>
    <row r="726" spans="14:24" x14ac:dyDescent="0.2">
      <c r="N726" s="120"/>
      <c r="O726" s="121"/>
      <c r="P726" s="121"/>
      <c r="Q726" s="121"/>
      <c r="R726" s="120"/>
      <c r="S726" s="120"/>
      <c r="T726" s="120"/>
      <c r="U726" s="120"/>
      <c r="X726" s="92"/>
    </row>
    <row r="727" spans="14:24" x14ac:dyDescent="0.2">
      <c r="N727" s="120"/>
      <c r="O727" s="121"/>
      <c r="P727" s="121"/>
      <c r="Q727" s="121"/>
      <c r="R727" s="120"/>
      <c r="S727" s="120"/>
      <c r="T727" s="120"/>
      <c r="U727" s="120"/>
      <c r="X727" s="92"/>
    </row>
    <row r="728" spans="14:24" x14ac:dyDescent="0.2">
      <c r="N728" s="120"/>
      <c r="O728" s="121"/>
      <c r="P728" s="121"/>
      <c r="Q728" s="121"/>
      <c r="R728" s="120"/>
      <c r="S728" s="120"/>
      <c r="T728" s="120"/>
      <c r="U728" s="120"/>
      <c r="X728" s="92"/>
    </row>
    <row r="729" spans="14:24" x14ac:dyDescent="0.2">
      <c r="N729" s="120"/>
      <c r="O729" s="121"/>
      <c r="P729" s="121"/>
      <c r="Q729" s="121"/>
      <c r="R729" s="120"/>
      <c r="S729" s="120"/>
      <c r="T729" s="120"/>
      <c r="U729" s="120"/>
      <c r="X729" s="92"/>
    </row>
    <row r="730" spans="14:24" x14ac:dyDescent="0.2">
      <c r="N730" s="120"/>
      <c r="O730" s="121"/>
      <c r="P730" s="121"/>
      <c r="Q730" s="121"/>
      <c r="R730" s="120"/>
      <c r="S730" s="120"/>
      <c r="T730" s="120"/>
      <c r="U730" s="120"/>
      <c r="X730" s="92"/>
    </row>
    <row r="731" spans="14:24" x14ac:dyDescent="0.2">
      <c r="N731" s="120"/>
      <c r="O731" s="121"/>
      <c r="P731" s="121"/>
      <c r="Q731" s="121"/>
      <c r="R731" s="120"/>
      <c r="S731" s="120"/>
      <c r="T731" s="120"/>
      <c r="U731" s="120"/>
      <c r="X731" s="92"/>
    </row>
    <row r="732" spans="14:24" x14ac:dyDescent="0.2">
      <c r="N732" s="120"/>
      <c r="O732" s="121"/>
      <c r="P732" s="121"/>
      <c r="Q732" s="121"/>
      <c r="R732" s="120"/>
      <c r="S732" s="120"/>
      <c r="T732" s="120"/>
      <c r="U732" s="120"/>
      <c r="X732" s="92"/>
    </row>
    <row r="733" spans="14:24" x14ac:dyDescent="0.2">
      <c r="N733" s="120"/>
      <c r="O733" s="121"/>
      <c r="P733" s="121"/>
      <c r="Q733" s="121"/>
      <c r="R733" s="120"/>
      <c r="S733" s="120"/>
      <c r="T733" s="120"/>
      <c r="U733" s="120"/>
      <c r="X733" s="92"/>
    </row>
    <row r="734" spans="14:24" x14ac:dyDescent="0.2">
      <c r="N734" s="120"/>
      <c r="O734" s="121"/>
      <c r="P734" s="121"/>
      <c r="Q734" s="121"/>
      <c r="R734" s="120"/>
      <c r="S734" s="120"/>
      <c r="T734" s="120"/>
      <c r="U734" s="120"/>
      <c r="X734" s="92"/>
    </row>
    <row r="735" spans="14:24" x14ac:dyDescent="0.2">
      <c r="N735" s="120"/>
      <c r="O735" s="121"/>
      <c r="P735" s="121"/>
      <c r="Q735" s="121"/>
      <c r="R735" s="120"/>
      <c r="S735" s="120"/>
      <c r="T735" s="120"/>
      <c r="U735" s="120"/>
      <c r="X735" s="92"/>
    </row>
    <row r="736" spans="14:24" x14ac:dyDescent="0.2">
      <c r="N736" s="120"/>
      <c r="O736" s="121"/>
      <c r="P736" s="121"/>
      <c r="Q736" s="121"/>
      <c r="R736" s="120"/>
      <c r="S736" s="120"/>
      <c r="T736" s="120"/>
      <c r="U736" s="120"/>
      <c r="X736" s="92"/>
    </row>
    <row r="737" spans="14:24" x14ac:dyDescent="0.2">
      <c r="N737" s="120"/>
      <c r="O737" s="121"/>
      <c r="P737" s="121"/>
      <c r="Q737" s="121"/>
      <c r="R737" s="120"/>
      <c r="S737" s="120"/>
      <c r="T737" s="120"/>
      <c r="U737" s="120"/>
      <c r="X737" s="92"/>
    </row>
    <row r="738" spans="14:24" x14ac:dyDescent="0.2">
      <c r="N738" s="120"/>
      <c r="O738" s="121"/>
      <c r="P738" s="121"/>
      <c r="Q738" s="121"/>
      <c r="R738" s="120"/>
      <c r="S738" s="120"/>
      <c r="T738" s="120"/>
      <c r="U738" s="120"/>
      <c r="X738" s="92"/>
    </row>
    <row r="739" spans="14:24" x14ac:dyDescent="0.2">
      <c r="N739" s="120"/>
      <c r="O739" s="121"/>
      <c r="P739" s="121"/>
      <c r="Q739" s="121"/>
      <c r="R739" s="120"/>
      <c r="S739" s="120"/>
      <c r="T739" s="120"/>
      <c r="U739" s="120"/>
      <c r="X739" s="92"/>
    </row>
    <row r="740" spans="14:24" x14ac:dyDescent="0.2">
      <c r="N740" s="120"/>
      <c r="O740" s="121"/>
      <c r="P740" s="121"/>
      <c r="Q740" s="121"/>
      <c r="R740" s="120"/>
      <c r="S740" s="120"/>
      <c r="T740" s="120"/>
      <c r="U740" s="120"/>
      <c r="X740" s="92"/>
    </row>
    <row r="741" spans="14:24" x14ac:dyDescent="0.2">
      <c r="N741" s="120"/>
      <c r="O741" s="121"/>
      <c r="P741" s="121"/>
      <c r="Q741" s="121"/>
      <c r="R741" s="120"/>
      <c r="S741" s="120"/>
      <c r="T741" s="120"/>
      <c r="U741" s="120"/>
      <c r="X741" s="92"/>
    </row>
    <row r="742" spans="14:24" x14ac:dyDescent="0.2">
      <c r="N742" s="120"/>
      <c r="O742" s="121"/>
      <c r="P742" s="121"/>
      <c r="Q742" s="121"/>
      <c r="R742" s="120"/>
      <c r="S742" s="120"/>
      <c r="T742" s="120"/>
      <c r="U742" s="120"/>
      <c r="X742" s="92"/>
    </row>
    <row r="743" spans="14:24" x14ac:dyDescent="0.2">
      <c r="N743" s="120"/>
      <c r="O743" s="121"/>
      <c r="P743" s="121"/>
      <c r="Q743" s="121"/>
      <c r="R743" s="120"/>
      <c r="S743" s="120"/>
      <c r="T743" s="120"/>
      <c r="U743" s="120"/>
      <c r="X743" s="92"/>
    </row>
    <row r="744" spans="14:24" x14ac:dyDescent="0.2">
      <c r="N744" s="120"/>
      <c r="O744" s="121"/>
      <c r="P744" s="121"/>
      <c r="Q744" s="121"/>
      <c r="R744" s="120"/>
      <c r="S744" s="120"/>
      <c r="T744" s="120"/>
      <c r="U744" s="120"/>
      <c r="X744" s="92"/>
    </row>
    <row r="745" spans="14:24" x14ac:dyDescent="0.2">
      <c r="N745" s="120"/>
      <c r="O745" s="121"/>
      <c r="P745" s="121"/>
      <c r="Q745" s="121"/>
      <c r="R745" s="120"/>
      <c r="S745" s="120"/>
      <c r="T745" s="120"/>
      <c r="U745" s="120"/>
      <c r="X745" s="92"/>
    </row>
    <row r="746" spans="14:24" x14ac:dyDescent="0.2">
      <c r="N746" s="120"/>
      <c r="O746" s="121"/>
      <c r="P746" s="121"/>
      <c r="Q746" s="121"/>
      <c r="R746" s="120"/>
      <c r="S746" s="120"/>
      <c r="T746" s="120"/>
      <c r="U746" s="120"/>
      <c r="X746" s="92"/>
    </row>
    <row r="747" spans="14:24" x14ac:dyDescent="0.2">
      <c r="N747" s="120"/>
      <c r="O747" s="121"/>
      <c r="P747" s="121"/>
      <c r="Q747" s="121"/>
      <c r="R747" s="120"/>
      <c r="S747" s="120"/>
      <c r="T747" s="120"/>
      <c r="U747" s="120"/>
      <c r="X747" s="92"/>
    </row>
    <row r="748" spans="14:24" x14ac:dyDescent="0.2">
      <c r="N748" s="120"/>
      <c r="O748" s="121"/>
      <c r="P748" s="121"/>
      <c r="Q748" s="121"/>
      <c r="R748" s="120"/>
      <c r="S748" s="120"/>
      <c r="T748" s="120"/>
      <c r="U748" s="120"/>
      <c r="X748" s="92"/>
    </row>
    <row r="749" spans="14:24" x14ac:dyDescent="0.2">
      <c r="N749" s="120"/>
      <c r="O749" s="121"/>
      <c r="P749" s="121"/>
      <c r="Q749" s="121"/>
      <c r="R749" s="120"/>
      <c r="S749" s="120"/>
      <c r="T749" s="120"/>
      <c r="U749" s="120"/>
      <c r="X749" s="92"/>
    </row>
    <row r="750" spans="14:24" x14ac:dyDescent="0.2">
      <c r="N750" s="120"/>
      <c r="O750" s="121"/>
      <c r="P750" s="121"/>
      <c r="Q750" s="121"/>
      <c r="R750" s="120"/>
      <c r="S750" s="120"/>
      <c r="T750" s="120"/>
      <c r="U750" s="120"/>
      <c r="X750" s="92"/>
    </row>
    <row r="751" spans="14:24" x14ac:dyDescent="0.2">
      <c r="N751" s="120"/>
      <c r="O751" s="121"/>
      <c r="P751" s="121"/>
      <c r="Q751" s="121"/>
      <c r="R751" s="120"/>
      <c r="S751" s="120"/>
      <c r="T751" s="120"/>
      <c r="U751" s="120"/>
      <c r="X751" s="92"/>
    </row>
    <row r="752" spans="14:24" x14ac:dyDescent="0.2">
      <c r="N752" s="120"/>
      <c r="O752" s="121"/>
      <c r="P752" s="121"/>
      <c r="Q752" s="121"/>
      <c r="R752" s="120"/>
      <c r="S752" s="120"/>
      <c r="T752" s="120"/>
      <c r="U752" s="120"/>
      <c r="X752" s="92"/>
    </row>
    <row r="753" spans="14:24" x14ac:dyDescent="0.2">
      <c r="N753" s="120"/>
      <c r="O753" s="121"/>
      <c r="P753" s="121"/>
      <c r="Q753" s="121"/>
      <c r="R753" s="120"/>
      <c r="S753" s="120"/>
      <c r="T753" s="120"/>
      <c r="U753" s="120"/>
      <c r="X753" s="92"/>
    </row>
    <row r="754" spans="14:24" x14ac:dyDescent="0.2">
      <c r="N754" s="120"/>
      <c r="O754" s="121"/>
      <c r="P754" s="121"/>
      <c r="Q754" s="121"/>
      <c r="R754" s="120"/>
      <c r="S754" s="120"/>
      <c r="T754" s="120"/>
      <c r="U754" s="120"/>
      <c r="X754" s="92"/>
    </row>
    <row r="755" spans="14:24" x14ac:dyDescent="0.2">
      <c r="N755" s="120"/>
      <c r="O755" s="121"/>
      <c r="P755" s="121"/>
      <c r="Q755" s="121"/>
      <c r="R755" s="120"/>
      <c r="S755" s="120"/>
      <c r="T755" s="120"/>
      <c r="U755" s="120"/>
      <c r="X755" s="92"/>
    </row>
    <row r="756" spans="14:24" x14ac:dyDescent="0.2">
      <c r="N756" s="120"/>
      <c r="O756" s="121"/>
      <c r="P756" s="121"/>
      <c r="Q756" s="121"/>
      <c r="R756" s="120"/>
      <c r="S756" s="120"/>
      <c r="T756" s="120"/>
      <c r="U756" s="120"/>
      <c r="X756" s="92"/>
    </row>
    <row r="757" spans="14:24" x14ac:dyDescent="0.2">
      <c r="N757" s="120"/>
      <c r="O757" s="121"/>
      <c r="P757" s="121"/>
      <c r="Q757" s="121"/>
      <c r="R757" s="120"/>
      <c r="S757" s="120"/>
      <c r="T757" s="120"/>
      <c r="U757" s="120"/>
      <c r="X757" s="92"/>
    </row>
    <row r="758" spans="14:24" x14ac:dyDescent="0.2">
      <c r="N758" s="120"/>
      <c r="O758" s="121"/>
      <c r="P758" s="121"/>
      <c r="Q758" s="121"/>
      <c r="R758" s="120"/>
      <c r="S758" s="120"/>
      <c r="T758" s="120"/>
      <c r="U758" s="120"/>
      <c r="X758" s="92"/>
    </row>
    <row r="759" spans="14:24" x14ac:dyDescent="0.2">
      <c r="N759" s="120"/>
      <c r="O759" s="121"/>
      <c r="P759" s="121"/>
      <c r="Q759" s="121"/>
      <c r="R759" s="120"/>
      <c r="S759" s="120"/>
      <c r="T759" s="120"/>
      <c r="U759" s="120"/>
      <c r="X759" s="92"/>
    </row>
    <row r="760" spans="14:24" x14ac:dyDescent="0.2">
      <c r="N760" s="120"/>
      <c r="O760" s="121"/>
      <c r="P760" s="121"/>
      <c r="Q760" s="121"/>
      <c r="R760" s="120"/>
      <c r="S760" s="120"/>
      <c r="T760" s="120"/>
      <c r="U760" s="120"/>
      <c r="X760" s="92"/>
    </row>
    <row r="761" spans="14:24" x14ac:dyDescent="0.2">
      <c r="N761" s="120"/>
      <c r="O761" s="121"/>
      <c r="P761" s="121"/>
      <c r="Q761" s="121"/>
      <c r="R761" s="120"/>
      <c r="S761" s="120"/>
      <c r="T761" s="120"/>
      <c r="U761" s="120"/>
      <c r="X761" s="92"/>
    </row>
    <row r="762" spans="14:24" x14ac:dyDescent="0.2">
      <c r="N762" s="120"/>
      <c r="O762" s="121"/>
      <c r="P762" s="121"/>
      <c r="Q762" s="121"/>
      <c r="R762" s="120"/>
      <c r="S762" s="120"/>
      <c r="T762" s="120"/>
      <c r="U762" s="120"/>
      <c r="X762" s="92"/>
    </row>
    <row r="763" spans="14:24" x14ac:dyDescent="0.2">
      <c r="N763" s="120"/>
      <c r="O763" s="121"/>
      <c r="P763" s="121"/>
      <c r="Q763" s="121"/>
      <c r="R763" s="120"/>
      <c r="S763" s="120"/>
      <c r="T763" s="120"/>
      <c r="U763" s="120"/>
      <c r="X763" s="92"/>
    </row>
    <row r="764" spans="14:24" x14ac:dyDescent="0.2">
      <c r="N764" s="120"/>
      <c r="O764" s="121"/>
      <c r="P764" s="121"/>
      <c r="Q764" s="121"/>
      <c r="R764" s="120"/>
      <c r="S764" s="120"/>
      <c r="T764" s="120"/>
      <c r="U764" s="120"/>
      <c r="X764" s="92"/>
    </row>
    <row r="765" spans="14:24" x14ac:dyDescent="0.2">
      <c r="N765" s="120"/>
      <c r="O765" s="121"/>
      <c r="P765" s="121"/>
      <c r="Q765" s="121"/>
      <c r="R765" s="120"/>
      <c r="S765" s="120"/>
      <c r="T765" s="120"/>
      <c r="U765" s="120"/>
      <c r="X765" s="92"/>
    </row>
    <row r="766" spans="14:24" x14ac:dyDescent="0.2">
      <c r="N766" s="120"/>
      <c r="O766" s="121"/>
      <c r="P766" s="121"/>
      <c r="Q766" s="121"/>
      <c r="R766" s="120"/>
      <c r="S766" s="120"/>
      <c r="T766" s="120"/>
      <c r="U766" s="120"/>
      <c r="X766" s="92"/>
    </row>
    <row r="767" spans="14:24" x14ac:dyDescent="0.2">
      <c r="N767" s="120"/>
      <c r="O767" s="121"/>
      <c r="P767" s="121"/>
      <c r="Q767" s="121"/>
      <c r="R767" s="120"/>
      <c r="S767" s="120"/>
      <c r="T767" s="120"/>
      <c r="U767" s="120"/>
      <c r="X767" s="92"/>
    </row>
    <row r="768" spans="14:24" x14ac:dyDescent="0.2">
      <c r="N768" s="120"/>
      <c r="O768" s="121"/>
      <c r="P768" s="121"/>
      <c r="Q768" s="121"/>
      <c r="R768" s="120"/>
      <c r="S768" s="120"/>
      <c r="T768" s="120"/>
      <c r="U768" s="120"/>
      <c r="X768" s="92"/>
    </row>
    <row r="769" spans="14:24" x14ac:dyDescent="0.2">
      <c r="N769" s="120"/>
      <c r="O769" s="121"/>
      <c r="P769" s="121"/>
      <c r="Q769" s="121"/>
      <c r="R769" s="120"/>
      <c r="S769" s="120"/>
      <c r="T769" s="120"/>
      <c r="U769" s="120"/>
      <c r="X769" s="92"/>
    </row>
    <row r="770" spans="14:24" x14ac:dyDescent="0.2">
      <c r="N770" s="120"/>
      <c r="O770" s="121"/>
      <c r="P770" s="121"/>
      <c r="Q770" s="121"/>
      <c r="R770" s="120"/>
      <c r="S770" s="120"/>
      <c r="T770" s="120"/>
      <c r="U770" s="120"/>
      <c r="X770" s="92"/>
    </row>
    <row r="771" spans="14:24" x14ac:dyDescent="0.2">
      <c r="N771" s="120"/>
      <c r="O771" s="121"/>
      <c r="P771" s="121"/>
      <c r="Q771" s="121"/>
      <c r="R771" s="120"/>
      <c r="S771" s="120"/>
      <c r="T771" s="120"/>
      <c r="U771" s="120"/>
      <c r="X771" s="92"/>
    </row>
    <row r="772" spans="14:24" x14ac:dyDescent="0.2">
      <c r="N772" s="120"/>
      <c r="O772" s="121"/>
      <c r="P772" s="121"/>
      <c r="Q772" s="121"/>
      <c r="R772" s="120"/>
      <c r="S772" s="120"/>
      <c r="T772" s="120"/>
      <c r="U772" s="120"/>
      <c r="X772" s="92"/>
    </row>
    <row r="773" spans="14:24" x14ac:dyDescent="0.2">
      <c r="N773" s="120"/>
      <c r="O773" s="121"/>
      <c r="P773" s="121"/>
      <c r="Q773" s="121"/>
      <c r="R773" s="120"/>
      <c r="S773" s="120"/>
      <c r="T773" s="120"/>
      <c r="U773" s="120"/>
      <c r="X773" s="92"/>
    </row>
    <row r="774" spans="14:24" x14ac:dyDescent="0.2">
      <c r="N774" s="120"/>
      <c r="O774" s="121"/>
      <c r="P774" s="121"/>
      <c r="Q774" s="121"/>
      <c r="R774" s="120"/>
      <c r="S774" s="120"/>
      <c r="T774" s="120"/>
      <c r="U774" s="120"/>
      <c r="X774" s="92"/>
    </row>
    <row r="775" spans="14:24" x14ac:dyDescent="0.2">
      <c r="N775" s="120"/>
      <c r="O775" s="121"/>
      <c r="P775" s="121"/>
      <c r="Q775" s="121"/>
      <c r="R775" s="120"/>
      <c r="S775" s="120"/>
      <c r="T775" s="120"/>
      <c r="U775" s="120"/>
      <c r="X775" s="92"/>
    </row>
    <row r="776" spans="14:24" x14ac:dyDescent="0.2">
      <c r="N776" s="120"/>
      <c r="O776" s="121"/>
      <c r="P776" s="121"/>
      <c r="Q776" s="121"/>
      <c r="R776" s="120"/>
      <c r="S776" s="120"/>
      <c r="T776" s="120"/>
      <c r="U776" s="120"/>
      <c r="X776" s="92"/>
    </row>
    <row r="777" spans="14:24" x14ac:dyDescent="0.2">
      <c r="N777" s="120"/>
      <c r="O777" s="121"/>
      <c r="P777" s="121"/>
      <c r="Q777" s="121"/>
      <c r="R777" s="120"/>
      <c r="S777" s="120"/>
      <c r="T777" s="120"/>
      <c r="U777" s="120"/>
      <c r="X777" s="92"/>
    </row>
    <row r="778" spans="14:24" x14ac:dyDescent="0.2">
      <c r="N778" s="120"/>
      <c r="O778" s="121"/>
      <c r="P778" s="121"/>
      <c r="Q778" s="121"/>
      <c r="R778" s="120"/>
      <c r="S778" s="120"/>
      <c r="T778" s="120"/>
      <c r="U778" s="120"/>
      <c r="X778" s="92"/>
    </row>
    <row r="779" spans="14:24" x14ac:dyDescent="0.2">
      <c r="N779" s="120"/>
      <c r="O779" s="121"/>
      <c r="P779" s="121"/>
      <c r="Q779" s="121"/>
      <c r="R779" s="120"/>
      <c r="S779" s="120"/>
      <c r="T779" s="120"/>
      <c r="U779" s="120"/>
      <c r="X779" s="92"/>
    </row>
    <row r="780" spans="14:24" x14ac:dyDescent="0.2">
      <c r="N780" s="120"/>
      <c r="O780" s="121"/>
      <c r="P780" s="121"/>
      <c r="Q780" s="121"/>
      <c r="R780" s="120"/>
      <c r="S780" s="120"/>
      <c r="T780" s="120"/>
      <c r="U780" s="120"/>
      <c r="X780" s="92"/>
    </row>
    <row r="781" spans="14:24" x14ac:dyDescent="0.2">
      <c r="N781" s="120"/>
      <c r="O781" s="121"/>
      <c r="P781" s="121"/>
      <c r="Q781" s="121"/>
      <c r="R781" s="120"/>
      <c r="S781" s="120"/>
      <c r="T781" s="120"/>
      <c r="U781" s="120"/>
      <c r="X781" s="92"/>
    </row>
    <row r="782" spans="14:24" x14ac:dyDescent="0.2">
      <c r="N782" s="120"/>
      <c r="O782" s="121"/>
      <c r="P782" s="121"/>
      <c r="Q782" s="121"/>
      <c r="R782" s="120"/>
      <c r="S782" s="120"/>
      <c r="T782" s="120"/>
      <c r="U782" s="120"/>
      <c r="X782" s="92"/>
    </row>
    <row r="783" spans="14:24" x14ac:dyDescent="0.2">
      <c r="N783" s="120"/>
      <c r="O783" s="121"/>
      <c r="P783" s="121"/>
      <c r="Q783" s="121"/>
      <c r="R783" s="120"/>
      <c r="S783" s="120"/>
      <c r="T783" s="120"/>
      <c r="U783" s="120"/>
      <c r="X783" s="92"/>
    </row>
    <row r="784" spans="14:24" x14ac:dyDescent="0.2">
      <c r="N784" s="120"/>
      <c r="O784" s="121"/>
      <c r="P784" s="121"/>
      <c r="Q784" s="121"/>
      <c r="R784" s="120"/>
      <c r="S784" s="120"/>
      <c r="T784" s="120"/>
      <c r="U784" s="120"/>
      <c r="X784" s="92"/>
    </row>
    <row r="785" spans="14:24" x14ac:dyDescent="0.2">
      <c r="N785" s="120"/>
      <c r="O785" s="121"/>
      <c r="P785" s="121"/>
      <c r="Q785" s="121"/>
      <c r="R785" s="120"/>
      <c r="S785" s="120"/>
      <c r="T785" s="120"/>
      <c r="U785" s="120"/>
      <c r="X785" s="92"/>
    </row>
    <row r="786" spans="14:24" x14ac:dyDescent="0.2">
      <c r="N786" s="120"/>
      <c r="O786" s="121"/>
      <c r="P786" s="121"/>
      <c r="Q786" s="121"/>
      <c r="R786" s="120"/>
      <c r="S786" s="120"/>
      <c r="T786" s="120"/>
      <c r="U786" s="120"/>
      <c r="X786" s="92"/>
    </row>
    <row r="787" spans="14:24" x14ac:dyDescent="0.2">
      <c r="N787" s="120"/>
      <c r="O787" s="121"/>
      <c r="P787" s="121"/>
      <c r="Q787" s="121"/>
      <c r="R787" s="120"/>
      <c r="S787" s="120"/>
      <c r="T787" s="120"/>
      <c r="U787" s="120"/>
      <c r="X787" s="92"/>
    </row>
    <row r="788" spans="14:24" x14ac:dyDescent="0.2">
      <c r="N788" s="120"/>
      <c r="O788" s="121"/>
      <c r="P788" s="121"/>
      <c r="Q788" s="121"/>
      <c r="R788" s="120"/>
      <c r="S788" s="120"/>
      <c r="T788" s="120"/>
      <c r="U788" s="120"/>
      <c r="X788" s="92"/>
    </row>
    <row r="789" spans="14:24" x14ac:dyDescent="0.2">
      <c r="N789" s="120"/>
      <c r="O789" s="121"/>
      <c r="P789" s="121"/>
      <c r="Q789" s="121"/>
      <c r="R789" s="120"/>
      <c r="S789" s="120"/>
      <c r="T789" s="120"/>
      <c r="U789" s="120"/>
      <c r="X789" s="92"/>
    </row>
    <row r="790" spans="14:24" x14ac:dyDescent="0.2">
      <c r="N790" s="120"/>
      <c r="O790" s="121"/>
      <c r="P790" s="121"/>
      <c r="Q790" s="121"/>
      <c r="R790" s="120"/>
      <c r="S790" s="120"/>
      <c r="T790" s="120"/>
      <c r="U790" s="120"/>
      <c r="X790" s="92"/>
    </row>
    <row r="791" spans="14:24" x14ac:dyDescent="0.2">
      <c r="N791" s="120"/>
      <c r="O791" s="121"/>
      <c r="P791" s="121"/>
      <c r="Q791" s="121"/>
      <c r="R791" s="120"/>
      <c r="S791" s="120"/>
      <c r="T791" s="120"/>
      <c r="U791" s="120"/>
      <c r="X791" s="92"/>
    </row>
    <row r="792" spans="14:24" x14ac:dyDescent="0.2">
      <c r="N792" s="120"/>
      <c r="O792" s="121"/>
      <c r="P792" s="121"/>
      <c r="Q792" s="121"/>
      <c r="R792" s="120"/>
      <c r="S792" s="120"/>
      <c r="T792" s="120"/>
      <c r="U792" s="120"/>
      <c r="X792" s="92"/>
    </row>
    <row r="793" spans="14:24" x14ac:dyDescent="0.2">
      <c r="N793" s="120"/>
      <c r="O793" s="121"/>
      <c r="P793" s="121"/>
      <c r="Q793" s="121"/>
      <c r="R793" s="120"/>
      <c r="S793" s="120"/>
      <c r="T793" s="120"/>
      <c r="U793" s="120"/>
      <c r="X793" s="92"/>
    </row>
    <row r="794" spans="14:24" x14ac:dyDescent="0.2">
      <c r="N794" s="120"/>
      <c r="O794" s="121"/>
      <c r="P794" s="121"/>
      <c r="Q794" s="121"/>
      <c r="R794" s="120"/>
      <c r="S794" s="120"/>
      <c r="T794" s="120"/>
      <c r="U794" s="120"/>
      <c r="X794" s="92"/>
    </row>
    <row r="795" spans="14:24" x14ac:dyDescent="0.2">
      <c r="N795" s="120"/>
      <c r="O795" s="121"/>
      <c r="P795" s="121"/>
      <c r="Q795" s="121"/>
      <c r="R795" s="120"/>
      <c r="S795" s="120"/>
      <c r="T795" s="120"/>
      <c r="U795" s="120"/>
      <c r="X795" s="92"/>
    </row>
    <row r="796" spans="14:24" x14ac:dyDescent="0.2">
      <c r="N796" s="120"/>
      <c r="O796" s="121"/>
      <c r="P796" s="121"/>
      <c r="Q796" s="121"/>
      <c r="R796" s="120"/>
      <c r="S796" s="120"/>
      <c r="T796" s="120"/>
      <c r="U796" s="120"/>
      <c r="X796" s="92"/>
    </row>
    <row r="797" spans="14:24" x14ac:dyDescent="0.2">
      <c r="N797" s="120"/>
      <c r="O797" s="121"/>
      <c r="P797" s="121"/>
      <c r="Q797" s="121"/>
      <c r="R797" s="120"/>
      <c r="S797" s="120"/>
      <c r="T797" s="120"/>
      <c r="U797" s="120"/>
      <c r="X797" s="92"/>
    </row>
    <row r="798" spans="14:24" x14ac:dyDescent="0.2">
      <c r="N798" s="120"/>
      <c r="O798" s="121"/>
      <c r="P798" s="121"/>
      <c r="Q798" s="121"/>
      <c r="R798" s="120"/>
      <c r="S798" s="120"/>
      <c r="T798" s="120"/>
      <c r="U798" s="120"/>
      <c r="X798" s="92"/>
    </row>
    <row r="799" spans="14:24" x14ac:dyDescent="0.2">
      <c r="N799" s="120"/>
      <c r="O799" s="121"/>
      <c r="P799" s="121"/>
      <c r="Q799" s="121"/>
      <c r="R799" s="120"/>
      <c r="S799" s="120"/>
      <c r="T799" s="120"/>
      <c r="U799" s="120"/>
      <c r="X799" s="92"/>
    </row>
    <row r="800" spans="14:24" x14ac:dyDescent="0.2">
      <c r="N800" s="120"/>
      <c r="O800" s="121"/>
      <c r="P800" s="121"/>
      <c r="Q800" s="121"/>
      <c r="R800" s="120"/>
      <c r="S800" s="120"/>
      <c r="T800" s="120"/>
      <c r="U800" s="120"/>
      <c r="X800" s="92"/>
    </row>
    <row r="801" spans="14:24" x14ac:dyDescent="0.2">
      <c r="N801" s="120"/>
      <c r="O801" s="121"/>
      <c r="P801" s="121"/>
      <c r="Q801" s="121"/>
      <c r="R801" s="120"/>
      <c r="S801" s="120"/>
      <c r="T801" s="120"/>
      <c r="U801" s="120"/>
      <c r="X801" s="92"/>
    </row>
    <row r="802" spans="14:24" x14ac:dyDescent="0.2">
      <c r="N802" s="120"/>
      <c r="O802" s="121"/>
      <c r="P802" s="121"/>
      <c r="Q802" s="121"/>
      <c r="R802" s="120"/>
      <c r="S802" s="120"/>
      <c r="T802" s="120"/>
      <c r="U802" s="120"/>
      <c r="X802" s="92"/>
    </row>
    <row r="803" spans="14:24" x14ac:dyDescent="0.2">
      <c r="N803" s="120"/>
      <c r="O803" s="121"/>
      <c r="P803" s="121"/>
      <c r="Q803" s="121"/>
      <c r="R803" s="120"/>
      <c r="S803" s="120"/>
      <c r="T803" s="120"/>
      <c r="U803" s="120"/>
      <c r="X803" s="92"/>
    </row>
    <row r="804" spans="14:24" x14ac:dyDescent="0.2">
      <c r="N804" s="120"/>
      <c r="O804" s="121"/>
      <c r="P804" s="121"/>
      <c r="Q804" s="121"/>
      <c r="R804" s="120"/>
      <c r="S804" s="120"/>
      <c r="T804" s="120"/>
      <c r="U804" s="120"/>
      <c r="X804" s="92"/>
    </row>
    <row r="805" spans="14:24" x14ac:dyDescent="0.2">
      <c r="N805" s="120"/>
      <c r="O805" s="121"/>
      <c r="P805" s="121"/>
      <c r="Q805" s="121"/>
      <c r="R805" s="120"/>
      <c r="S805" s="120"/>
      <c r="T805" s="120"/>
      <c r="U805" s="120"/>
      <c r="X805" s="92"/>
    </row>
    <row r="806" spans="14:24" x14ac:dyDescent="0.2">
      <c r="N806" s="120"/>
      <c r="O806" s="121"/>
      <c r="P806" s="121"/>
      <c r="Q806" s="121"/>
      <c r="R806" s="120"/>
      <c r="S806" s="120"/>
      <c r="T806" s="120"/>
      <c r="U806" s="120"/>
      <c r="X806" s="92"/>
    </row>
    <row r="807" spans="14:24" x14ac:dyDescent="0.2">
      <c r="N807" s="120"/>
      <c r="O807" s="121"/>
      <c r="P807" s="121"/>
      <c r="Q807" s="121"/>
      <c r="R807" s="120"/>
      <c r="S807" s="120"/>
      <c r="T807" s="120"/>
      <c r="U807" s="120"/>
      <c r="X807" s="92"/>
    </row>
    <row r="808" spans="14:24" x14ac:dyDescent="0.2">
      <c r="N808" s="120"/>
      <c r="O808" s="121"/>
      <c r="P808" s="121"/>
      <c r="Q808" s="121"/>
      <c r="R808" s="120"/>
      <c r="S808" s="120"/>
      <c r="T808" s="120"/>
      <c r="U808" s="120"/>
      <c r="X808" s="92"/>
    </row>
    <row r="809" spans="14:24" x14ac:dyDescent="0.2">
      <c r="N809" s="120"/>
      <c r="O809" s="121"/>
      <c r="P809" s="121"/>
      <c r="Q809" s="121"/>
      <c r="R809" s="120"/>
      <c r="S809" s="120"/>
      <c r="T809" s="120"/>
      <c r="U809" s="120"/>
      <c r="X809" s="92"/>
    </row>
    <row r="810" spans="14:24" x14ac:dyDescent="0.2">
      <c r="N810" s="120"/>
      <c r="O810" s="121"/>
      <c r="P810" s="121"/>
      <c r="Q810" s="121"/>
      <c r="R810" s="120"/>
      <c r="S810" s="120"/>
      <c r="T810" s="120"/>
      <c r="U810" s="120"/>
      <c r="X810" s="92"/>
    </row>
    <row r="811" spans="14:24" x14ac:dyDescent="0.2">
      <c r="N811" s="120"/>
      <c r="O811" s="121"/>
      <c r="P811" s="121"/>
      <c r="Q811" s="121"/>
      <c r="R811" s="120"/>
      <c r="S811" s="120"/>
      <c r="T811" s="120"/>
      <c r="U811" s="120"/>
      <c r="X811" s="92"/>
    </row>
    <row r="812" spans="14:24" x14ac:dyDescent="0.2">
      <c r="N812" s="120"/>
      <c r="O812" s="121"/>
      <c r="P812" s="121"/>
      <c r="Q812" s="121"/>
      <c r="R812" s="120"/>
      <c r="S812" s="120"/>
      <c r="T812" s="120"/>
      <c r="U812" s="120"/>
      <c r="X812" s="92"/>
    </row>
    <row r="813" spans="14:24" x14ac:dyDescent="0.2">
      <c r="N813" s="120"/>
      <c r="O813" s="121"/>
      <c r="P813" s="121"/>
      <c r="Q813" s="121"/>
      <c r="R813" s="120"/>
      <c r="S813" s="120"/>
      <c r="T813" s="120"/>
      <c r="U813" s="120"/>
      <c r="X813" s="92"/>
    </row>
    <row r="814" spans="14:24" x14ac:dyDescent="0.2">
      <c r="N814" s="120"/>
      <c r="O814" s="121"/>
      <c r="P814" s="121"/>
      <c r="Q814" s="121"/>
      <c r="R814" s="120"/>
      <c r="S814" s="120"/>
      <c r="T814" s="120"/>
      <c r="U814" s="120"/>
      <c r="X814" s="92"/>
    </row>
    <row r="815" spans="14:24" x14ac:dyDescent="0.2">
      <c r="N815" s="120"/>
      <c r="O815" s="121"/>
      <c r="P815" s="121"/>
      <c r="Q815" s="121"/>
      <c r="R815" s="120"/>
      <c r="S815" s="120"/>
      <c r="T815" s="120"/>
      <c r="U815" s="120"/>
      <c r="X815" s="92"/>
    </row>
    <row r="816" spans="14:24" x14ac:dyDescent="0.2">
      <c r="N816" s="120"/>
      <c r="O816" s="121"/>
      <c r="P816" s="121"/>
      <c r="Q816" s="121"/>
      <c r="R816" s="120"/>
      <c r="S816" s="120"/>
      <c r="T816" s="120"/>
      <c r="U816" s="120"/>
      <c r="X816" s="92"/>
    </row>
    <row r="817" spans="14:24" x14ac:dyDescent="0.2">
      <c r="N817" s="120"/>
      <c r="O817" s="121"/>
      <c r="P817" s="121"/>
      <c r="Q817" s="121"/>
      <c r="R817" s="120"/>
      <c r="S817" s="120"/>
      <c r="T817" s="120"/>
      <c r="U817" s="120"/>
      <c r="X817" s="92"/>
    </row>
    <row r="818" spans="14:24" x14ac:dyDescent="0.2">
      <c r="N818" s="120"/>
      <c r="O818" s="121"/>
      <c r="P818" s="121"/>
      <c r="Q818" s="121"/>
      <c r="R818" s="120"/>
      <c r="S818" s="120"/>
      <c r="T818" s="120"/>
      <c r="U818" s="120"/>
      <c r="X818" s="92"/>
    </row>
    <row r="819" spans="14:24" x14ac:dyDescent="0.2">
      <c r="N819" s="120"/>
      <c r="O819" s="121"/>
      <c r="P819" s="121"/>
      <c r="Q819" s="121"/>
      <c r="R819" s="120"/>
      <c r="S819" s="120"/>
      <c r="T819" s="120"/>
      <c r="U819" s="120"/>
      <c r="X819" s="92"/>
    </row>
    <row r="820" spans="14:24" x14ac:dyDescent="0.2">
      <c r="N820" s="120"/>
      <c r="O820" s="121"/>
      <c r="P820" s="121"/>
      <c r="Q820" s="121"/>
      <c r="R820" s="120"/>
      <c r="S820" s="120"/>
      <c r="T820" s="120"/>
      <c r="U820" s="120"/>
      <c r="X820" s="92"/>
    </row>
    <row r="821" spans="14:24" x14ac:dyDescent="0.2">
      <c r="N821" s="120"/>
      <c r="O821" s="121"/>
      <c r="P821" s="121"/>
      <c r="Q821" s="121"/>
      <c r="R821" s="120"/>
      <c r="S821" s="120"/>
      <c r="T821" s="120"/>
      <c r="U821" s="120"/>
      <c r="X821" s="92"/>
    </row>
    <row r="822" spans="14:24" x14ac:dyDescent="0.2">
      <c r="N822" s="120"/>
      <c r="O822" s="121"/>
      <c r="P822" s="121"/>
      <c r="Q822" s="121"/>
      <c r="R822" s="120"/>
      <c r="S822" s="120"/>
      <c r="T822" s="120"/>
      <c r="U822" s="120"/>
      <c r="X822" s="92"/>
    </row>
    <row r="823" spans="14:24" x14ac:dyDescent="0.2">
      <c r="N823" s="120"/>
      <c r="O823" s="121"/>
      <c r="P823" s="121"/>
      <c r="Q823" s="121"/>
      <c r="R823" s="120"/>
      <c r="S823" s="120"/>
      <c r="T823" s="120"/>
      <c r="U823" s="120"/>
      <c r="X823" s="92"/>
    </row>
    <row r="824" spans="14:24" x14ac:dyDescent="0.2">
      <c r="N824" s="120"/>
      <c r="O824" s="121"/>
      <c r="P824" s="121"/>
      <c r="Q824" s="121"/>
      <c r="R824" s="120"/>
      <c r="S824" s="120"/>
      <c r="T824" s="120"/>
      <c r="U824" s="120"/>
      <c r="X824" s="92"/>
    </row>
    <row r="825" spans="14:24" x14ac:dyDescent="0.2">
      <c r="N825" s="120"/>
      <c r="O825" s="121"/>
      <c r="P825" s="121"/>
      <c r="Q825" s="121"/>
      <c r="R825" s="120"/>
      <c r="S825" s="120"/>
      <c r="T825" s="120"/>
      <c r="U825" s="120"/>
      <c r="X825" s="92"/>
    </row>
    <row r="826" spans="14:24" x14ac:dyDescent="0.2">
      <c r="N826" s="120"/>
      <c r="O826" s="121"/>
      <c r="P826" s="121"/>
      <c r="Q826" s="121"/>
      <c r="R826" s="120"/>
      <c r="S826" s="120"/>
      <c r="T826" s="120"/>
      <c r="U826" s="120"/>
      <c r="X826" s="92"/>
    </row>
    <row r="827" spans="14:24" x14ac:dyDescent="0.2">
      <c r="N827" s="120"/>
      <c r="O827" s="121"/>
      <c r="P827" s="121"/>
      <c r="Q827" s="121"/>
      <c r="R827" s="120"/>
      <c r="S827" s="120"/>
      <c r="T827" s="120"/>
      <c r="U827" s="120"/>
      <c r="X827" s="92"/>
    </row>
    <row r="828" spans="14:24" x14ac:dyDescent="0.2">
      <c r="N828" s="120"/>
      <c r="O828" s="121"/>
      <c r="P828" s="121"/>
      <c r="Q828" s="121"/>
      <c r="R828" s="120"/>
      <c r="S828" s="120"/>
      <c r="T828" s="120"/>
      <c r="U828" s="120"/>
      <c r="X828" s="92"/>
    </row>
    <row r="829" spans="14:24" x14ac:dyDescent="0.2">
      <c r="N829" s="120"/>
      <c r="O829" s="121"/>
      <c r="P829" s="121"/>
      <c r="Q829" s="121"/>
      <c r="R829" s="120"/>
      <c r="S829" s="120"/>
      <c r="T829" s="120"/>
      <c r="U829" s="120"/>
      <c r="X829" s="92"/>
    </row>
    <row r="830" spans="14:24" x14ac:dyDescent="0.2">
      <c r="N830" s="120"/>
      <c r="O830" s="121"/>
      <c r="P830" s="121"/>
      <c r="Q830" s="121"/>
      <c r="R830" s="120"/>
      <c r="S830" s="120"/>
      <c r="T830" s="120"/>
      <c r="U830" s="120"/>
      <c r="X830" s="92"/>
    </row>
    <row r="831" spans="14:24" x14ac:dyDescent="0.2">
      <c r="N831" s="120"/>
      <c r="O831" s="121"/>
      <c r="P831" s="121"/>
      <c r="Q831" s="121"/>
      <c r="R831" s="120"/>
      <c r="S831" s="120"/>
      <c r="T831" s="120"/>
      <c r="U831" s="120"/>
      <c r="X831" s="92"/>
    </row>
    <row r="832" spans="14:24" x14ac:dyDescent="0.2">
      <c r="N832" s="120"/>
      <c r="O832" s="121"/>
      <c r="P832" s="121"/>
      <c r="Q832" s="121"/>
      <c r="R832" s="120"/>
      <c r="S832" s="120"/>
      <c r="T832" s="120"/>
      <c r="U832" s="120"/>
      <c r="X832" s="92"/>
    </row>
    <row r="833" spans="14:24" x14ac:dyDescent="0.2">
      <c r="N833" s="120"/>
      <c r="O833" s="121"/>
      <c r="P833" s="121"/>
      <c r="Q833" s="121"/>
      <c r="R833" s="120"/>
      <c r="S833" s="120"/>
      <c r="T833" s="120"/>
      <c r="U833" s="120"/>
      <c r="X833" s="92"/>
    </row>
    <row r="834" spans="14:24" x14ac:dyDescent="0.2">
      <c r="N834" s="120"/>
      <c r="O834" s="121"/>
      <c r="P834" s="121"/>
      <c r="Q834" s="121"/>
      <c r="R834" s="120"/>
      <c r="S834" s="120"/>
      <c r="T834" s="120"/>
      <c r="U834" s="120"/>
      <c r="X834" s="92"/>
    </row>
    <row r="835" spans="14:24" x14ac:dyDescent="0.2">
      <c r="N835" s="120"/>
      <c r="O835" s="121"/>
      <c r="P835" s="121"/>
      <c r="Q835" s="121"/>
      <c r="R835" s="120"/>
      <c r="S835" s="120"/>
      <c r="T835" s="120"/>
      <c r="U835" s="120"/>
      <c r="X835" s="92"/>
    </row>
    <row r="836" spans="14:24" x14ac:dyDescent="0.2">
      <c r="N836" s="120"/>
      <c r="O836" s="121"/>
      <c r="P836" s="121"/>
      <c r="Q836" s="121"/>
      <c r="R836" s="120"/>
      <c r="S836" s="120"/>
      <c r="T836" s="120"/>
      <c r="U836" s="120"/>
      <c r="X836" s="92"/>
    </row>
    <row r="837" spans="14:24" x14ac:dyDescent="0.2">
      <c r="N837" s="120"/>
      <c r="O837" s="121"/>
      <c r="P837" s="121"/>
      <c r="Q837" s="121"/>
      <c r="R837" s="120"/>
      <c r="S837" s="120"/>
      <c r="T837" s="120"/>
      <c r="U837" s="120"/>
      <c r="X837" s="92"/>
    </row>
    <row r="838" spans="14:24" x14ac:dyDescent="0.2">
      <c r="N838" s="120"/>
      <c r="O838" s="121"/>
      <c r="P838" s="121"/>
      <c r="Q838" s="121"/>
      <c r="R838" s="120"/>
      <c r="S838" s="120"/>
      <c r="T838" s="120"/>
      <c r="U838" s="120"/>
      <c r="X838" s="92"/>
    </row>
    <row r="839" spans="14:24" x14ac:dyDescent="0.2">
      <c r="N839" s="120"/>
      <c r="O839" s="121"/>
      <c r="P839" s="121"/>
      <c r="Q839" s="121"/>
      <c r="R839" s="120"/>
      <c r="S839" s="120"/>
      <c r="T839" s="120"/>
      <c r="U839" s="120"/>
      <c r="X839" s="92"/>
    </row>
    <row r="840" spans="14:24" x14ac:dyDescent="0.2">
      <c r="N840" s="120"/>
      <c r="O840" s="121"/>
      <c r="P840" s="121"/>
      <c r="Q840" s="121"/>
      <c r="R840" s="120"/>
      <c r="S840" s="120"/>
      <c r="T840" s="120"/>
      <c r="U840" s="120"/>
      <c r="X840" s="92"/>
    </row>
    <row r="841" spans="14:24" x14ac:dyDescent="0.2">
      <c r="N841" s="120"/>
      <c r="O841" s="121"/>
      <c r="P841" s="121"/>
      <c r="Q841" s="121"/>
      <c r="R841" s="120"/>
      <c r="S841" s="120"/>
      <c r="T841" s="120"/>
      <c r="U841" s="120"/>
      <c r="X841" s="92"/>
    </row>
    <row r="842" spans="14:24" x14ac:dyDescent="0.2">
      <c r="N842" s="120"/>
      <c r="O842" s="121"/>
      <c r="P842" s="121"/>
      <c r="Q842" s="121"/>
      <c r="R842" s="120"/>
      <c r="S842" s="120"/>
      <c r="T842" s="120"/>
      <c r="U842" s="120"/>
      <c r="X842" s="92"/>
    </row>
    <row r="843" spans="14:24" x14ac:dyDescent="0.2">
      <c r="N843" s="120"/>
      <c r="O843" s="121"/>
      <c r="P843" s="121"/>
      <c r="Q843" s="121"/>
      <c r="R843" s="120"/>
      <c r="S843" s="120"/>
      <c r="T843" s="120"/>
      <c r="U843" s="120"/>
      <c r="X843" s="92"/>
    </row>
    <row r="844" spans="14:24" x14ac:dyDescent="0.2">
      <c r="N844" s="120"/>
      <c r="O844" s="121"/>
      <c r="P844" s="121"/>
      <c r="Q844" s="121"/>
      <c r="R844" s="120"/>
      <c r="S844" s="120"/>
      <c r="T844" s="120"/>
      <c r="U844" s="120"/>
      <c r="X844" s="92"/>
    </row>
    <row r="845" spans="14:24" x14ac:dyDescent="0.2">
      <c r="N845" s="120"/>
      <c r="O845" s="121"/>
      <c r="P845" s="121"/>
      <c r="Q845" s="121"/>
      <c r="R845" s="120"/>
      <c r="S845" s="120"/>
      <c r="T845" s="120"/>
      <c r="U845" s="120"/>
      <c r="X845" s="92"/>
    </row>
    <row r="846" spans="14:24" x14ac:dyDescent="0.2">
      <c r="N846" s="120"/>
      <c r="O846" s="121"/>
      <c r="P846" s="121"/>
      <c r="Q846" s="121"/>
      <c r="R846" s="120"/>
      <c r="S846" s="120"/>
      <c r="T846" s="120"/>
      <c r="U846" s="120"/>
      <c r="X846" s="92"/>
    </row>
    <row r="847" spans="14:24" x14ac:dyDescent="0.2">
      <c r="N847" s="120"/>
      <c r="O847" s="121"/>
      <c r="P847" s="121"/>
      <c r="Q847" s="121"/>
      <c r="R847" s="120"/>
      <c r="S847" s="120"/>
      <c r="T847" s="120"/>
      <c r="U847" s="120"/>
      <c r="X847" s="92"/>
    </row>
    <row r="848" spans="14:24" x14ac:dyDescent="0.2">
      <c r="N848" s="120"/>
      <c r="O848" s="121"/>
      <c r="P848" s="121"/>
      <c r="Q848" s="121"/>
      <c r="R848" s="120"/>
      <c r="S848" s="120"/>
      <c r="T848" s="120"/>
      <c r="U848" s="120"/>
      <c r="X848" s="92"/>
    </row>
    <row r="849" spans="14:24" x14ac:dyDescent="0.2">
      <c r="N849" s="120"/>
      <c r="O849" s="121"/>
      <c r="P849" s="121"/>
      <c r="Q849" s="121"/>
      <c r="R849" s="120"/>
      <c r="S849" s="120"/>
      <c r="T849" s="120"/>
      <c r="U849" s="120"/>
      <c r="X849" s="92"/>
    </row>
    <row r="850" spans="14:24" x14ac:dyDescent="0.2">
      <c r="N850" s="120"/>
      <c r="O850" s="121"/>
      <c r="P850" s="121"/>
      <c r="Q850" s="121"/>
      <c r="R850" s="120"/>
      <c r="S850" s="120"/>
      <c r="T850" s="120"/>
      <c r="U850" s="120"/>
      <c r="X850" s="92"/>
    </row>
    <row r="851" spans="14:24" x14ac:dyDescent="0.2">
      <c r="N851" s="120"/>
      <c r="O851" s="121"/>
      <c r="P851" s="121"/>
      <c r="Q851" s="121"/>
      <c r="R851" s="120"/>
      <c r="S851" s="120"/>
      <c r="T851" s="120"/>
      <c r="U851" s="120"/>
      <c r="X851" s="92"/>
    </row>
    <row r="852" spans="14:24" x14ac:dyDescent="0.2">
      <c r="N852" s="120"/>
      <c r="O852" s="121"/>
      <c r="P852" s="121"/>
      <c r="Q852" s="121"/>
      <c r="R852" s="120"/>
      <c r="S852" s="120"/>
      <c r="T852" s="120"/>
      <c r="U852" s="120"/>
      <c r="X852" s="92"/>
    </row>
    <row r="853" spans="14:24" x14ac:dyDescent="0.2">
      <c r="N853" s="120"/>
      <c r="O853" s="121"/>
      <c r="P853" s="121"/>
      <c r="Q853" s="121"/>
      <c r="R853" s="120"/>
      <c r="S853" s="120"/>
      <c r="T853" s="120"/>
      <c r="U853" s="120"/>
      <c r="X853" s="92"/>
    </row>
    <row r="854" spans="14:24" x14ac:dyDescent="0.2">
      <c r="N854" s="120"/>
      <c r="O854" s="121"/>
      <c r="P854" s="121"/>
      <c r="Q854" s="121"/>
      <c r="R854" s="120"/>
      <c r="S854" s="120"/>
      <c r="T854" s="120"/>
      <c r="U854" s="120"/>
      <c r="X854" s="92"/>
    </row>
    <row r="855" spans="14:24" x14ac:dyDescent="0.2">
      <c r="N855" s="120"/>
      <c r="O855" s="121"/>
      <c r="P855" s="121"/>
      <c r="Q855" s="121"/>
      <c r="R855" s="120"/>
      <c r="S855" s="120"/>
      <c r="T855" s="120"/>
      <c r="U855" s="120"/>
      <c r="X855" s="92"/>
    </row>
    <row r="856" spans="14:24" x14ac:dyDescent="0.2">
      <c r="N856" s="120"/>
      <c r="O856" s="121"/>
      <c r="P856" s="121"/>
      <c r="Q856" s="121"/>
      <c r="R856" s="120"/>
      <c r="S856" s="120"/>
      <c r="T856" s="120"/>
      <c r="U856" s="120"/>
      <c r="X856" s="92"/>
    </row>
    <row r="857" spans="14:24" x14ac:dyDescent="0.2">
      <c r="N857" s="120"/>
      <c r="O857" s="121"/>
      <c r="P857" s="121"/>
      <c r="Q857" s="121"/>
      <c r="R857" s="120"/>
      <c r="S857" s="120"/>
      <c r="T857" s="120"/>
      <c r="U857" s="120"/>
      <c r="X857" s="92"/>
    </row>
    <row r="858" spans="14:24" x14ac:dyDescent="0.2">
      <c r="N858" s="120"/>
      <c r="O858" s="121"/>
      <c r="P858" s="121"/>
      <c r="Q858" s="121"/>
      <c r="R858" s="120"/>
      <c r="S858" s="120"/>
      <c r="T858" s="120"/>
      <c r="U858" s="120"/>
      <c r="X858" s="92"/>
    </row>
    <row r="859" spans="14:24" x14ac:dyDescent="0.2">
      <c r="N859" s="120"/>
      <c r="O859" s="121"/>
      <c r="P859" s="121"/>
      <c r="Q859" s="121"/>
      <c r="R859" s="120"/>
      <c r="S859" s="120"/>
      <c r="T859" s="120"/>
      <c r="U859" s="120"/>
      <c r="X859" s="92"/>
    </row>
    <row r="860" spans="14:24" x14ac:dyDescent="0.2">
      <c r="N860" s="120"/>
      <c r="O860" s="121"/>
      <c r="P860" s="121"/>
      <c r="Q860" s="121"/>
      <c r="R860" s="120"/>
      <c r="S860" s="120"/>
      <c r="T860" s="120"/>
      <c r="U860" s="120"/>
      <c r="X860" s="92"/>
    </row>
    <row r="861" spans="14:24" x14ac:dyDescent="0.2">
      <c r="N861" s="120"/>
      <c r="O861" s="121"/>
      <c r="P861" s="121"/>
      <c r="Q861" s="121"/>
      <c r="R861" s="120"/>
      <c r="S861" s="120"/>
      <c r="T861" s="120"/>
      <c r="U861" s="120"/>
      <c r="X861" s="92"/>
    </row>
    <row r="862" spans="14:24" x14ac:dyDescent="0.2">
      <c r="N862" s="120"/>
      <c r="O862" s="121"/>
      <c r="P862" s="121"/>
      <c r="Q862" s="121"/>
      <c r="R862" s="120"/>
      <c r="S862" s="120"/>
      <c r="T862" s="120"/>
      <c r="U862" s="120"/>
      <c r="X862" s="92"/>
    </row>
    <row r="863" spans="14:24" x14ac:dyDescent="0.2">
      <c r="N863" s="120"/>
      <c r="O863" s="121"/>
      <c r="P863" s="121"/>
      <c r="Q863" s="121"/>
      <c r="R863" s="120"/>
      <c r="S863" s="120"/>
      <c r="T863" s="120"/>
      <c r="U863" s="120"/>
      <c r="X863" s="92"/>
    </row>
    <row r="864" spans="14:24" x14ac:dyDescent="0.2">
      <c r="N864" s="120"/>
      <c r="O864" s="121"/>
      <c r="P864" s="121"/>
      <c r="Q864" s="121"/>
      <c r="R864" s="120"/>
      <c r="S864" s="120"/>
      <c r="T864" s="120"/>
      <c r="U864" s="120"/>
      <c r="X864" s="92"/>
    </row>
    <row r="865" spans="14:24" x14ac:dyDescent="0.2">
      <c r="N865" s="120"/>
      <c r="O865" s="121"/>
      <c r="P865" s="121"/>
      <c r="Q865" s="121"/>
      <c r="R865" s="120"/>
      <c r="S865" s="120"/>
      <c r="T865" s="120"/>
      <c r="U865" s="120"/>
      <c r="X865" s="92"/>
    </row>
    <row r="866" spans="14:24" x14ac:dyDescent="0.2">
      <c r="N866" s="120"/>
      <c r="O866" s="121"/>
      <c r="P866" s="121"/>
      <c r="Q866" s="121"/>
      <c r="R866" s="120"/>
      <c r="S866" s="120"/>
      <c r="T866" s="120"/>
      <c r="U866" s="120"/>
      <c r="X866" s="92"/>
    </row>
    <row r="867" spans="14:24" x14ac:dyDescent="0.2">
      <c r="N867" s="120"/>
      <c r="O867" s="121"/>
      <c r="P867" s="121"/>
      <c r="Q867" s="121"/>
      <c r="R867" s="120"/>
      <c r="S867" s="120"/>
      <c r="T867" s="120"/>
      <c r="U867" s="120"/>
      <c r="X867" s="92"/>
    </row>
    <row r="868" spans="14:24" x14ac:dyDescent="0.2">
      <c r="N868" s="120"/>
      <c r="O868" s="121"/>
      <c r="P868" s="121"/>
      <c r="Q868" s="121"/>
      <c r="R868" s="120"/>
      <c r="S868" s="120"/>
      <c r="T868" s="120"/>
      <c r="U868" s="120"/>
      <c r="X868" s="92"/>
    </row>
    <row r="869" spans="14:24" x14ac:dyDescent="0.2">
      <c r="N869" s="120"/>
      <c r="O869" s="121"/>
      <c r="P869" s="121"/>
      <c r="Q869" s="121"/>
      <c r="R869" s="120"/>
      <c r="S869" s="120"/>
      <c r="T869" s="120"/>
      <c r="U869" s="120"/>
      <c r="X869" s="92"/>
    </row>
    <row r="870" spans="14:24" x14ac:dyDescent="0.2">
      <c r="N870" s="120"/>
      <c r="O870" s="121"/>
      <c r="P870" s="121"/>
      <c r="Q870" s="121"/>
      <c r="R870" s="120"/>
      <c r="S870" s="120"/>
      <c r="T870" s="120"/>
      <c r="U870" s="120"/>
      <c r="X870" s="92"/>
    </row>
    <row r="871" spans="14:24" x14ac:dyDescent="0.2">
      <c r="N871" s="120"/>
      <c r="O871" s="121"/>
      <c r="P871" s="121"/>
      <c r="Q871" s="121"/>
      <c r="R871" s="120"/>
      <c r="S871" s="120"/>
      <c r="T871" s="120"/>
      <c r="U871" s="120"/>
      <c r="X871" s="92"/>
    </row>
    <row r="872" spans="14:24" x14ac:dyDescent="0.2">
      <c r="N872" s="120"/>
      <c r="O872" s="121"/>
      <c r="P872" s="121"/>
      <c r="Q872" s="121"/>
      <c r="R872" s="120"/>
      <c r="S872" s="120"/>
      <c r="T872" s="120"/>
      <c r="U872" s="120"/>
      <c r="X872" s="92"/>
    </row>
    <row r="873" spans="14:24" x14ac:dyDescent="0.2">
      <c r="N873" s="120"/>
      <c r="O873" s="121"/>
      <c r="P873" s="121"/>
      <c r="Q873" s="121"/>
      <c r="R873" s="120"/>
      <c r="S873" s="120"/>
      <c r="T873" s="120"/>
      <c r="U873" s="120"/>
      <c r="X873" s="92"/>
    </row>
    <row r="874" spans="14:24" x14ac:dyDescent="0.2">
      <c r="N874" s="120"/>
      <c r="O874" s="121"/>
      <c r="P874" s="121"/>
      <c r="Q874" s="121"/>
      <c r="R874" s="120"/>
      <c r="S874" s="120"/>
      <c r="T874" s="120"/>
      <c r="U874" s="120"/>
      <c r="X874" s="92"/>
    </row>
    <row r="875" spans="14:24" x14ac:dyDescent="0.2">
      <c r="N875" s="120"/>
      <c r="O875" s="121"/>
      <c r="P875" s="121"/>
      <c r="Q875" s="121"/>
      <c r="R875" s="120"/>
      <c r="S875" s="120"/>
      <c r="T875" s="120"/>
      <c r="U875" s="120"/>
      <c r="X875" s="92"/>
    </row>
    <row r="876" spans="14:24" x14ac:dyDescent="0.2">
      <c r="N876" s="120"/>
      <c r="O876" s="121"/>
      <c r="P876" s="121"/>
      <c r="Q876" s="121"/>
      <c r="R876" s="120"/>
      <c r="S876" s="120"/>
      <c r="T876" s="120"/>
      <c r="U876" s="120"/>
      <c r="X876" s="92"/>
    </row>
    <row r="877" spans="14:24" x14ac:dyDescent="0.2">
      <c r="N877" s="120"/>
      <c r="O877" s="121"/>
      <c r="P877" s="121"/>
      <c r="Q877" s="121"/>
      <c r="R877" s="120"/>
      <c r="S877" s="120"/>
      <c r="T877" s="120"/>
      <c r="U877" s="120"/>
      <c r="X877" s="92"/>
    </row>
    <row r="878" spans="14:24" x14ac:dyDescent="0.2">
      <c r="N878" s="120"/>
      <c r="O878" s="121"/>
      <c r="P878" s="121"/>
      <c r="Q878" s="121"/>
      <c r="R878" s="120"/>
      <c r="S878" s="120"/>
      <c r="T878" s="120"/>
      <c r="U878" s="120"/>
      <c r="X878" s="92"/>
    </row>
    <row r="879" spans="14:24" x14ac:dyDescent="0.2">
      <c r="N879" s="120"/>
      <c r="O879" s="121"/>
      <c r="P879" s="121"/>
      <c r="Q879" s="121"/>
      <c r="R879" s="120"/>
      <c r="S879" s="120"/>
      <c r="T879" s="120"/>
      <c r="U879" s="120"/>
      <c r="X879" s="92"/>
    </row>
    <row r="880" spans="14:24" x14ac:dyDescent="0.2">
      <c r="N880" s="120"/>
      <c r="O880" s="121"/>
      <c r="P880" s="121"/>
      <c r="Q880" s="121"/>
      <c r="R880" s="120"/>
      <c r="S880" s="120"/>
      <c r="T880" s="120"/>
      <c r="U880" s="120"/>
      <c r="X880" s="92"/>
    </row>
    <row r="881" spans="14:24" x14ac:dyDescent="0.2">
      <c r="N881" s="120"/>
      <c r="O881" s="121"/>
      <c r="P881" s="121"/>
      <c r="Q881" s="121"/>
      <c r="R881" s="120"/>
      <c r="S881" s="120"/>
      <c r="T881" s="120"/>
      <c r="U881" s="120"/>
      <c r="X881" s="92"/>
    </row>
    <row r="882" spans="14:24" x14ac:dyDescent="0.2">
      <c r="N882" s="120"/>
      <c r="O882" s="121"/>
      <c r="P882" s="121"/>
      <c r="Q882" s="121"/>
      <c r="R882" s="120"/>
      <c r="S882" s="120"/>
      <c r="T882" s="120"/>
      <c r="U882" s="120"/>
      <c r="X882" s="92"/>
    </row>
    <row r="883" spans="14:24" x14ac:dyDescent="0.2">
      <c r="N883" s="120"/>
      <c r="O883" s="121"/>
      <c r="P883" s="121"/>
      <c r="Q883" s="121"/>
      <c r="R883" s="120"/>
      <c r="S883" s="120"/>
      <c r="T883" s="120"/>
      <c r="U883" s="120"/>
      <c r="X883" s="92"/>
    </row>
    <row r="884" spans="14:24" x14ac:dyDescent="0.2">
      <c r="N884" s="120"/>
      <c r="O884" s="121"/>
      <c r="P884" s="121"/>
      <c r="Q884" s="121"/>
      <c r="R884" s="120"/>
      <c r="S884" s="120"/>
      <c r="T884" s="120"/>
      <c r="U884" s="120"/>
      <c r="X884" s="92"/>
    </row>
    <row r="885" spans="14:24" x14ac:dyDescent="0.2">
      <c r="N885" s="120"/>
      <c r="O885" s="121"/>
      <c r="P885" s="121"/>
      <c r="Q885" s="121"/>
      <c r="R885" s="120"/>
      <c r="S885" s="120"/>
      <c r="T885" s="120"/>
      <c r="U885" s="120"/>
      <c r="X885" s="92"/>
    </row>
    <row r="886" spans="14:24" x14ac:dyDescent="0.2">
      <c r="N886" s="120"/>
      <c r="O886" s="121"/>
      <c r="P886" s="121"/>
      <c r="Q886" s="121"/>
      <c r="R886" s="120"/>
      <c r="S886" s="120"/>
      <c r="T886" s="120"/>
      <c r="U886" s="120"/>
      <c r="X886" s="92"/>
    </row>
    <row r="887" spans="14:24" x14ac:dyDescent="0.2">
      <c r="N887" s="120"/>
      <c r="O887" s="121"/>
      <c r="P887" s="121"/>
      <c r="Q887" s="121"/>
      <c r="R887" s="120"/>
      <c r="S887" s="120"/>
      <c r="T887" s="120"/>
      <c r="U887" s="120"/>
      <c r="X887" s="92"/>
    </row>
    <row r="888" spans="14:24" x14ac:dyDescent="0.2">
      <c r="N888" s="120"/>
      <c r="O888" s="121"/>
      <c r="P888" s="121"/>
      <c r="Q888" s="121"/>
      <c r="R888" s="120"/>
      <c r="S888" s="120"/>
      <c r="T888" s="120"/>
      <c r="U888" s="120"/>
      <c r="X888" s="92"/>
    </row>
    <row r="889" spans="14:24" x14ac:dyDescent="0.2">
      <c r="N889" s="120"/>
      <c r="O889" s="121"/>
      <c r="P889" s="121"/>
      <c r="Q889" s="121"/>
      <c r="R889" s="120"/>
      <c r="S889" s="120"/>
      <c r="T889" s="120"/>
      <c r="U889" s="120"/>
      <c r="X889" s="92"/>
    </row>
    <row r="890" spans="14:24" x14ac:dyDescent="0.2">
      <c r="N890" s="120"/>
      <c r="O890" s="121"/>
      <c r="P890" s="121"/>
      <c r="Q890" s="121"/>
      <c r="R890" s="120"/>
      <c r="S890" s="120"/>
      <c r="T890" s="120"/>
      <c r="U890" s="120"/>
      <c r="X890" s="92"/>
    </row>
    <row r="891" spans="14:24" x14ac:dyDescent="0.2">
      <c r="N891" s="120"/>
      <c r="O891" s="121"/>
      <c r="P891" s="121"/>
      <c r="Q891" s="121"/>
      <c r="R891" s="120"/>
      <c r="S891" s="120"/>
      <c r="T891" s="120"/>
      <c r="U891" s="120"/>
      <c r="X891" s="92"/>
    </row>
    <row r="892" spans="14:24" x14ac:dyDescent="0.2">
      <c r="N892" s="120"/>
      <c r="O892" s="121"/>
      <c r="P892" s="121"/>
      <c r="Q892" s="121"/>
      <c r="R892" s="120"/>
      <c r="S892" s="120"/>
      <c r="T892" s="120"/>
      <c r="U892" s="120"/>
      <c r="X892" s="92"/>
    </row>
    <row r="893" spans="14:24" x14ac:dyDescent="0.2">
      <c r="N893" s="120"/>
      <c r="O893" s="121"/>
      <c r="P893" s="121"/>
      <c r="Q893" s="121"/>
      <c r="R893" s="120"/>
      <c r="S893" s="120"/>
      <c r="T893" s="120"/>
      <c r="U893" s="120"/>
      <c r="X893" s="92"/>
    </row>
    <row r="894" spans="14:24" x14ac:dyDescent="0.2">
      <c r="N894" s="120"/>
      <c r="O894" s="121"/>
      <c r="P894" s="121"/>
      <c r="Q894" s="121"/>
      <c r="R894" s="120"/>
      <c r="S894" s="120"/>
      <c r="T894" s="120"/>
      <c r="U894" s="120"/>
      <c r="X894" s="92"/>
    </row>
    <row r="895" spans="14:24" x14ac:dyDescent="0.2">
      <c r="N895" s="120"/>
      <c r="O895" s="121"/>
      <c r="P895" s="121"/>
      <c r="Q895" s="121"/>
      <c r="R895" s="120"/>
      <c r="S895" s="120"/>
      <c r="T895" s="120"/>
      <c r="U895" s="120"/>
      <c r="X895" s="92"/>
    </row>
    <row r="896" spans="14:24" x14ac:dyDescent="0.2">
      <c r="N896" s="120"/>
      <c r="O896" s="121"/>
      <c r="P896" s="121"/>
      <c r="Q896" s="121"/>
      <c r="R896" s="120"/>
      <c r="S896" s="120"/>
      <c r="T896" s="120"/>
      <c r="U896" s="120"/>
      <c r="X896" s="92"/>
    </row>
    <row r="897" spans="14:24" x14ac:dyDescent="0.2">
      <c r="N897" s="120"/>
      <c r="O897" s="121"/>
      <c r="P897" s="121"/>
      <c r="Q897" s="121"/>
      <c r="R897" s="120"/>
      <c r="S897" s="120"/>
      <c r="T897" s="120"/>
      <c r="U897" s="120"/>
      <c r="X897" s="92"/>
    </row>
    <row r="898" spans="14:24" x14ac:dyDescent="0.2">
      <c r="N898" s="120"/>
      <c r="O898" s="121"/>
      <c r="P898" s="121"/>
      <c r="Q898" s="121"/>
      <c r="R898" s="120"/>
      <c r="S898" s="120"/>
      <c r="T898" s="120"/>
      <c r="U898" s="120"/>
      <c r="X898" s="92"/>
    </row>
    <row r="899" spans="14:24" x14ac:dyDescent="0.2">
      <c r="N899" s="120"/>
      <c r="O899" s="121"/>
      <c r="P899" s="121"/>
      <c r="Q899" s="121"/>
      <c r="R899" s="120"/>
      <c r="S899" s="120"/>
      <c r="T899" s="120"/>
      <c r="U899" s="120"/>
      <c r="X899" s="92"/>
    </row>
    <row r="900" spans="14:24" x14ac:dyDescent="0.2">
      <c r="N900" s="120"/>
      <c r="O900" s="121"/>
      <c r="P900" s="121"/>
      <c r="Q900" s="121"/>
      <c r="R900" s="120"/>
      <c r="S900" s="120"/>
      <c r="T900" s="120"/>
      <c r="U900" s="120"/>
      <c r="X900" s="92"/>
    </row>
    <row r="901" spans="14:24" x14ac:dyDescent="0.2">
      <c r="N901" s="120"/>
      <c r="O901" s="121"/>
      <c r="P901" s="121"/>
      <c r="Q901" s="121"/>
      <c r="R901" s="120"/>
      <c r="S901" s="120"/>
      <c r="T901" s="120"/>
      <c r="U901" s="120"/>
      <c r="X901" s="92"/>
    </row>
    <row r="902" spans="14:24" x14ac:dyDescent="0.2">
      <c r="N902" s="120"/>
      <c r="O902" s="121"/>
      <c r="P902" s="121"/>
      <c r="Q902" s="121"/>
      <c r="R902" s="120"/>
      <c r="S902" s="120"/>
      <c r="T902" s="120"/>
      <c r="U902" s="120"/>
      <c r="X902" s="92"/>
    </row>
    <row r="903" spans="14:24" x14ac:dyDescent="0.2">
      <c r="N903" s="120"/>
      <c r="O903" s="121"/>
      <c r="P903" s="121"/>
      <c r="Q903" s="121"/>
      <c r="R903" s="120"/>
      <c r="S903" s="120"/>
      <c r="T903" s="120"/>
      <c r="U903" s="120"/>
      <c r="X903" s="92"/>
    </row>
    <row r="904" spans="14:24" x14ac:dyDescent="0.2">
      <c r="N904" s="120"/>
      <c r="O904" s="121"/>
      <c r="P904" s="121"/>
      <c r="Q904" s="121"/>
      <c r="R904" s="120"/>
      <c r="S904" s="120"/>
      <c r="T904" s="120"/>
      <c r="U904" s="120"/>
      <c r="X904" s="92"/>
    </row>
    <row r="905" spans="14:24" x14ac:dyDescent="0.2">
      <c r="N905" s="120"/>
      <c r="O905" s="121"/>
      <c r="P905" s="121"/>
      <c r="Q905" s="121"/>
      <c r="R905" s="120"/>
      <c r="S905" s="120"/>
      <c r="T905" s="120"/>
      <c r="U905" s="120"/>
      <c r="X905" s="92"/>
    </row>
    <row r="906" spans="14:24" x14ac:dyDescent="0.2">
      <c r="N906" s="120"/>
      <c r="O906" s="121"/>
      <c r="P906" s="121"/>
      <c r="Q906" s="121"/>
      <c r="R906" s="120"/>
      <c r="S906" s="120"/>
      <c r="T906" s="120"/>
      <c r="U906" s="120"/>
      <c r="X906" s="92"/>
    </row>
    <row r="907" spans="14:24" x14ac:dyDescent="0.2">
      <c r="N907" s="120"/>
      <c r="O907" s="121"/>
      <c r="P907" s="121"/>
      <c r="Q907" s="121"/>
      <c r="R907" s="120"/>
      <c r="S907" s="120"/>
      <c r="T907" s="120"/>
      <c r="U907" s="120"/>
      <c r="X907" s="92"/>
    </row>
    <row r="908" spans="14:24" x14ac:dyDescent="0.2">
      <c r="N908" s="120"/>
      <c r="O908" s="121"/>
      <c r="P908" s="121"/>
      <c r="Q908" s="121"/>
      <c r="R908" s="120"/>
      <c r="S908" s="120"/>
      <c r="T908" s="120"/>
      <c r="U908" s="120"/>
      <c r="X908" s="92"/>
    </row>
    <row r="909" spans="14:24" x14ac:dyDescent="0.2">
      <c r="N909" s="120"/>
      <c r="O909" s="121"/>
      <c r="P909" s="121"/>
      <c r="Q909" s="121"/>
      <c r="R909" s="120"/>
      <c r="S909" s="120"/>
      <c r="T909" s="120"/>
      <c r="U909" s="120"/>
      <c r="X909" s="92"/>
    </row>
    <row r="910" spans="14:24" x14ac:dyDescent="0.2">
      <c r="N910" s="120"/>
      <c r="O910" s="121"/>
      <c r="P910" s="121"/>
      <c r="Q910" s="121"/>
      <c r="R910" s="120"/>
      <c r="S910" s="120"/>
      <c r="T910" s="120"/>
      <c r="U910" s="120"/>
      <c r="X910" s="92"/>
    </row>
    <row r="911" spans="14:24" x14ac:dyDescent="0.2">
      <c r="N911" s="120"/>
      <c r="O911" s="121"/>
      <c r="P911" s="121"/>
      <c r="Q911" s="121"/>
      <c r="R911" s="120"/>
      <c r="S911" s="120"/>
      <c r="T911" s="120"/>
      <c r="U911" s="120"/>
      <c r="X911" s="92"/>
    </row>
    <row r="912" spans="14:24" x14ac:dyDescent="0.2">
      <c r="N912" s="120"/>
      <c r="O912" s="121"/>
      <c r="P912" s="121"/>
      <c r="Q912" s="121"/>
      <c r="R912" s="120"/>
      <c r="S912" s="120"/>
      <c r="T912" s="120"/>
      <c r="U912" s="120"/>
      <c r="X912" s="92"/>
    </row>
    <row r="913" spans="14:24" x14ac:dyDescent="0.2">
      <c r="N913" s="120"/>
      <c r="O913" s="121"/>
      <c r="P913" s="121"/>
      <c r="Q913" s="121"/>
      <c r="R913" s="120"/>
      <c r="S913" s="120"/>
      <c r="T913" s="120"/>
      <c r="U913" s="120"/>
      <c r="X913" s="92"/>
    </row>
    <row r="914" spans="14:24" x14ac:dyDescent="0.2">
      <c r="N914" s="120"/>
      <c r="O914" s="121"/>
      <c r="P914" s="121"/>
      <c r="Q914" s="121"/>
      <c r="R914" s="120"/>
      <c r="S914" s="120"/>
      <c r="T914" s="120"/>
      <c r="U914" s="120"/>
      <c r="X914" s="92"/>
    </row>
    <row r="915" spans="14:24" x14ac:dyDescent="0.2">
      <c r="N915" s="120"/>
      <c r="O915" s="121"/>
      <c r="P915" s="121"/>
      <c r="Q915" s="121"/>
      <c r="R915" s="120"/>
      <c r="S915" s="120"/>
      <c r="T915" s="120"/>
      <c r="U915" s="120"/>
      <c r="X915" s="92"/>
    </row>
    <row r="916" spans="14:24" x14ac:dyDescent="0.2">
      <c r="N916" s="120"/>
      <c r="O916" s="121"/>
      <c r="P916" s="121"/>
      <c r="Q916" s="121"/>
      <c r="R916" s="120"/>
      <c r="S916" s="120"/>
      <c r="T916" s="120"/>
      <c r="U916" s="120"/>
      <c r="X916" s="92"/>
    </row>
    <row r="917" spans="14:24" x14ac:dyDescent="0.2">
      <c r="N917" s="120"/>
      <c r="O917" s="121"/>
      <c r="P917" s="121"/>
      <c r="Q917" s="121"/>
      <c r="R917" s="120"/>
      <c r="S917" s="120"/>
      <c r="T917" s="120"/>
      <c r="U917" s="120"/>
      <c r="X917" s="92"/>
    </row>
    <row r="918" spans="14:24" x14ac:dyDescent="0.2">
      <c r="N918" s="120"/>
      <c r="O918" s="121"/>
      <c r="P918" s="121"/>
      <c r="Q918" s="121"/>
      <c r="R918" s="120"/>
      <c r="S918" s="120"/>
      <c r="T918" s="120"/>
      <c r="U918" s="120"/>
      <c r="X918" s="92"/>
    </row>
    <row r="919" spans="14:24" x14ac:dyDescent="0.2">
      <c r="N919" s="120"/>
      <c r="O919" s="121"/>
      <c r="P919" s="121"/>
      <c r="Q919" s="121"/>
      <c r="R919" s="120"/>
      <c r="S919" s="120"/>
      <c r="T919" s="120"/>
      <c r="U919" s="120"/>
      <c r="X919" s="92"/>
    </row>
    <row r="920" spans="14:24" x14ac:dyDescent="0.2">
      <c r="N920" s="120"/>
      <c r="O920" s="121"/>
      <c r="P920" s="121"/>
      <c r="Q920" s="121"/>
      <c r="R920" s="120"/>
      <c r="S920" s="120"/>
      <c r="T920" s="120"/>
      <c r="U920" s="120"/>
      <c r="X920" s="92"/>
    </row>
    <row r="921" spans="14:24" x14ac:dyDescent="0.2">
      <c r="N921" s="120"/>
      <c r="O921" s="121"/>
      <c r="P921" s="121"/>
      <c r="Q921" s="121"/>
      <c r="R921" s="120"/>
      <c r="S921" s="120"/>
      <c r="T921" s="120"/>
      <c r="U921" s="120"/>
      <c r="X921" s="92"/>
    </row>
    <row r="922" spans="14:24" x14ac:dyDescent="0.2">
      <c r="N922" s="120"/>
      <c r="O922" s="121"/>
      <c r="P922" s="121"/>
      <c r="Q922" s="121"/>
      <c r="R922" s="120"/>
      <c r="S922" s="120"/>
      <c r="T922" s="120"/>
      <c r="U922" s="120"/>
      <c r="X922" s="92"/>
    </row>
    <row r="923" spans="14:24" x14ac:dyDescent="0.2">
      <c r="N923" s="120"/>
      <c r="O923" s="121"/>
      <c r="P923" s="121"/>
      <c r="Q923" s="121"/>
      <c r="R923" s="120"/>
      <c r="S923" s="120"/>
      <c r="T923" s="120"/>
      <c r="U923" s="120"/>
      <c r="X923" s="92"/>
    </row>
    <row r="924" spans="14:24" x14ac:dyDescent="0.2">
      <c r="N924" s="120"/>
      <c r="O924" s="121"/>
      <c r="P924" s="121"/>
      <c r="Q924" s="121"/>
      <c r="R924" s="120"/>
      <c r="S924" s="120"/>
      <c r="T924" s="120"/>
      <c r="U924" s="120"/>
      <c r="X924" s="92"/>
    </row>
    <row r="925" spans="14:24" x14ac:dyDescent="0.2">
      <c r="N925" s="120"/>
      <c r="O925" s="121"/>
      <c r="P925" s="121"/>
      <c r="Q925" s="121"/>
      <c r="R925" s="120"/>
      <c r="S925" s="120"/>
      <c r="T925" s="120"/>
      <c r="U925" s="120"/>
      <c r="X925" s="92"/>
    </row>
    <row r="926" spans="14:24" x14ac:dyDescent="0.2">
      <c r="N926" s="120"/>
      <c r="O926" s="121"/>
      <c r="P926" s="121"/>
      <c r="Q926" s="121"/>
      <c r="R926" s="120"/>
      <c r="S926" s="120"/>
      <c r="T926" s="120"/>
      <c r="U926" s="120"/>
      <c r="X926" s="92"/>
    </row>
    <row r="927" spans="14:24" x14ac:dyDescent="0.2">
      <c r="N927" s="120"/>
      <c r="O927" s="121"/>
      <c r="P927" s="121"/>
      <c r="Q927" s="121"/>
      <c r="R927" s="120"/>
      <c r="S927" s="120"/>
      <c r="T927" s="120"/>
      <c r="U927" s="120"/>
      <c r="X927" s="92"/>
    </row>
    <row r="928" spans="14:24" x14ac:dyDescent="0.2">
      <c r="N928" s="120"/>
      <c r="O928" s="121"/>
      <c r="P928" s="121"/>
      <c r="Q928" s="121"/>
      <c r="R928" s="120"/>
      <c r="S928" s="120"/>
      <c r="T928" s="120"/>
      <c r="U928" s="120"/>
      <c r="X928" s="92"/>
    </row>
    <row r="929" spans="14:24" x14ac:dyDescent="0.2">
      <c r="N929" s="120"/>
      <c r="O929" s="121"/>
      <c r="P929" s="121"/>
      <c r="Q929" s="121"/>
      <c r="R929" s="120"/>
      <c r="S929" s="120"/>
      <c r="T929" s="120"/>
      <c r="U929" s="120"/>
      <c r="X929" s="92"/>
    </row>
    <row r="930" spans="14:24" x14ac:dyDescent="0.2">
      <c r="N930" s="120"/>
      <c r="O930" s="121"/>
      <c r="P930" s="121"/>
      <c r="Q930" s="121"/>
      <c r="R930" s="120"/>
      <c r="S930" s="120"/>
      <c r="T930" s="120"/>
      <c r="U930" s="120"/>
      <c r="X930" s="92"/>
    </row>
    <row r="931" spans="14:24" x14ac:dyDescent="0.2">
      <c r="N931" s="120"/>
      <c r="O931" s="121"/>
      <c r="P931" s="121"/>
      <c r="Q931" s="121"/>
      <c r="R931" s="120"/>
      <c r="S931" s="120"/>
      <c r="T931" s="120"/>
      <c r="U931" s="120"/>
      <c r="X931" s="92"/>
    </row>
    <row r="932" spans="14:24" x14ac:dyDescent="0.2">
      <c r="N932" s="120"/>
      <c r="O932" s="121"/>
      <c r="P932" s="121"/>
      <c r="Q932" s="121"/>
      <c r="R932" s="120"/>
      <c r="S932" s="120"/>
      <c r="T932" s="120"/>
      <c r="U932" s="120"/>
      <c r="X932" s="92"/>
    </row>
    <row r="933" spans="14:24" x14ac:dyDescent="0.2">
      <c r="N933" s="120"/>
      <c r="O933" s="121"/>
      <c r="P933" s="121"/>
      <c r="Q933" s="121"/>
      <c r="R933" s="120"/>
      <c r="S933" s="120"/>
      <c r="T933" s="120"/>
      <c r="U933" s="120"/>
      <c r="X933" s="92"/>
    </row>
    <row r="934" spans="14:24" x14ac:dyDescent="0.2">
      <c r="N934" s="120"/>
      <c r="O934" s="121"/>
      <c r="P934" s="121"/>
      <c r="Q934" s="121"/>
      <c r="R934" s="120"/>
      <c r="S934" s="120"/>
      <c r="T934" s="120"/>
      <c r="U934" s="120"/>
      <c r="X934" s="92"/>
    </row>
    <row r="935" spans="14:24" x14ac:dyDescent="0.2">
      <c r="N935" s="120"/>
      <c r="O935" s="121"/>
      <c r="P935" s="121"/>
      <c r="Q935" s="121"/>
      <c r="R935" s="120"/>
      <c r="S935" s="120"/>
      <c r="T935" s="120"/>
      <c r="U935" s="120"/>
      <c r="X935" s="92"/>
    </row>
    <row r="936" spans="14:24" x14ac:dyDescent="0.2">
      <c r="N936" s="120"/>
      <c r="O936" s="121"/>
      <c r="P936" s="121"/>
      <c r="Q936" s="121"/>
      <c r="R936" s="120"/>
      <c r="S936" s="120"/>
      <c r="T936" s="120"/>
      <c r="U936" s="120"/>
      <c r="X936" s="92"/>
    </row>
    <row r="937" spans="14:24" x14ac:dyDescent="0.2">
      <c r="N937" s="120"/>
      <c r="O937" s="121"/>
      <c r="P937" s="121"/>
      <c r="Q937" s="121"/>
      <c r="R937" s="120"/>
      <c r="S937" s="120"/>
      <c r="T937" s="120"/>
      <c r="U937" s="120"/>
      <c r="X937" s="92"/>
    </row>
    <row r="938" spans="14:24" x14ac:dyDescent="0.2">
      <c r="N938" s="120"/>
      <c r="O938" s="121"/>
      <c r="P938" s="121"/>
      <c r="Q938" s="121"/>
      <c r="R938" s="120"/>
      <c r="S938" s="120"/>
      <c r="T938" s="120"/>
      <c r="U938" s="120"/>
      <c r="X938" s="92"/>
    </row>
    <row r="939" spans="14:24" x14ac:dyDescent="0.2">
      <c r="N939" s="120"/>
      <c r="O939" s="121"/>
      <c r="P939" s="121"/>
      <c r="Q939" s="121"/>
      <c r="R939" s="120"/>
      <c r="S939" s="120"/>
      <c r="T939" s="120"/>
      <c r="U939" s="120"/>
      <c r="X939" s="92"/>
    </row>
    <row r="940" spans="14:24" x14ac:dyDescent="0.2">
      <c r="N940" s="120"/>
      <c r="O940" s="121"/>
      <c r="P940" s="121"/>
      <c r="Q940" s="121"/>
      <c r="R940" s="120"/>
      <c r="S940" s="120"/>
      <c r="T940" s="120"/>
      <c r="U940" s="120"/>
      <c r="X940" s="92"/>
    </row>
    <row r="941" spans="14:24" x14ac:dyDescent="0.2">
      <c r="N941" s="120"/>
      <c r="O941" s="121"/>
      <c r="P941" s="121"/>
      <c r="Q941" s="121"/>
      <c r="R941" s="120"/>
      <c r="S941" s="120"/>
      <c r="T941" s="120"/>
      <c r="U941" s="120"/>
      <c r="X941" s="92"/>
    </row>
    <row r="942" spans="14:24" x14ac:dyDescent="0.2">
      <c r="N942" s="120"/>
      <c r="O942" s="121"/>
      <c r="P942" s="121"/>
      <c r="Q942" s="121"/>
      <c r="R942" s="120"/>
      <c r="S942" s="120"/>
      <c r="T942" s="120"/>
      <c r="U942" s="120"/>
      <c r="X942" s="92"/>
    </row>
    <row r="943" spans="14:24" x14ac:dyDescent="0.2">
      <c r="N943" s="120"/>
      <c r="O943" s="121"/>
      <c r="P943" s="121"/>
      <c r="Q943" s="121"/>
      <c r="R943" s="120"/>
      <c r="S943" s="120"/>
      <c r="T943" s="120"/>
      <c r="U943" s="120"/>
      <c r="X943" s="92"/>
    </row>
    <row r="944" spans="14:24" x14ac:dyDescent="0.2">
      <c r="N944" s="120"/>
      <c r="O944" s="121"/>
      <c r="P944" s="121"/>
      <c r="Q944" s="121"/>
      <c r="R944" s="120"/>
      <c r="S944" s="120"/>
      <c r="T944" s="120"/>
      <c r="U944" s="120"/>
      <c r="X944" s="92"/>
    </row>
    <row r="945" spans="14:24" x14ac:dyDescent="0.2">
      <c r="N945" s="120"/>
      <c r="O945" s="121"/>
      <c r="P945" s="121"/>
      <c r="Q945" s="121"/>
      <c r="R945" s="120"/>
      <c r="S945" s="120"/>
      <c r="T945" s="120"/>
      <c r="U945" s="120"/>
      <c r="X945" s="92"/>
    </row>
    <row r="946" spans="14:24" x14ac:dyDescent="0.2">
      <c r="N946" s="120"/>
      <c r="O946" s="121"/>
      <c r="P946" s="121"/>
      <c r="Q946" s="121"/>
      <c r="R946" s="120"/>
      <c r="S946" s="120"/>
      <c r="T946" s="120"/>
      <c r="U946" s="120"/>
      <c r="X946" s="92"/>
    </row>
    <row r="947" spans="14:24" x14ac:dyDescent="0.2">
      <c r="N947" s="120"/>
      <c r="O947" s="121"/>
      <c r="P947" s="121"/>
      <c r="Q947" s="121"/>
      <c r="R947" s="120"/>
      <c r="S947" s="120"/>
      <c r="T947" s="120"/>
      <c r="U947" s="120"/>
      <c r="X947" s="92"/>
    </row>
    <row r="948" spans="14:24" x14ac:dyDescent="0.2">
      <c r="N948" s="120"/>
      <c r="O948" s="121"/>
      <c r="P948" s="121"/>
      <c r="Q948" s="121"/>
      <c r="R948" s="120"/>
      <c r="S948" s="120"/>
      <c r="T948" s="120"/>
      <c r="U948" s="120"/>
      <c r="X948" s="92"/>
    </row>
    <row r="949" spans="14:24" x14ac:dyDescent="0.2">
      <c r="N949" s="120"/>
      <c r="O949" s="121"/>
      <c r="P949" s="121"/>
      <c r="Q949" s="121"/>
      <c r="R949" s="120"/>
      <c r="S949" s="120"/>
      <c r="T949" s="120"/>
      <c r="U949" s="120"/>
      <c r="X949" s="92"/>
    </row>
    <row r="950" spans="14:24" x14ac:dyDescent="0.2">
      <c r="N950" s="120"/>
      <c r="O950" s="121"/>
      <c r="P950" s="121"/>
      <c r="Q950" s="121"/>
      <c r="R950" s="120"/>
      <c r="S950" s="120"/>
      <c r="T950" s="120"/>
      <c r="U950" s="120"/>
      <c r="X950" s="92"/>
    </row>
    <row r="951" spans="14:24" x14ac:dyDescent="0.2">
      <c r="N951" s="120"/>
      <c r="O951" s="121"/>
      <c r="P951" s="121"/>
      <c r="Q951" s="121"/>
      <c r="R951" s="120"/>
      <c r="S951" s="120"/>
      <c r="T951" s="120"/>
      <c r="U951" s="120"/>
      <c r="X951" s="92"/>
    </row>
    <row r="952" spans="14:24" x14ac:dyDescent="0.2">
      <c r="N952" s="120"/>
      <c r="O952" s="121"/>
      <c r="P952" s="121"/>
      <c r="Q952" s="121"/>
      <c r="R952" s="120"/>
      <c r="S952" s="120"/>
      <c r="T952" s="120"/>
      <c r="U952" s="120"/>
      <c r="X952" s="92"/>
    </row>
    <row r="953" spans="14:24" x14ac:dyDescent="0.2">
      <c r="N953" s="120"/>
      <c r="O953" s="121"/>
      <c r="P953" s="121"/>
      <c r="Q953" s="121"/>
      <c r="R953" s="120"/>
      <c r="S953" s="120"/>
      <c r="T953" s="120"/>
      <c r="U953" s="120"/>
      <c r="X953" s="92"/>
    </row>
    <row r="954" spans="14:24" x14ac:dyDescent="0.2">
      <c r="N954" s="120"/>
      <c r="O954" s="121"/>
      <c r="P954" s="121"/>
      <c r="Q954" s="121"/>
      <c r="R954" s="120"/>
      <c r="S954" s="120"/>
      <c r="T954" s="120"/>
      <c r="U954" s="120"/>
      <c r="X954" s="92"/>
    </row>
    <row r="955" spans="14:24" x14ac:dyDescent="0.2">
      <c r="N955" s="120"/>
      <c r="O955" s="121"/>
      <c r="P955" s="121"/>
      <c r="Q955" s="121"/>
      <c r="R955" s="120"/>
      <c r="S955" s="120"/>
      <c r="T955" s="120"/>
      <c r="U955" s="120"/>
      <c r="X955" s="92"/>
    </row>
    <row r="956" spans="14:24" x14ac:dyDescent="0.2">
      <c r="N956" s="120"/>
      <c r="O956" s="121"/>
      <c r="P956" s="121"/>
      <c r="Q956" s="121"/>
      <c r="R956" s="120"/>
      <c r="S956" s="120"/>
      <c r="T956" s="120"/>
      <c r="U956" s="120"/>
      <c r="X956" s="92"/>
    </row>
    <row r="957" spans="14:24" x14ac:dyDescent="0.2">
      <c r="N957" s="120"/>
      <c r="O957" s="121"/>
      <c r="P957" s="121"/>
      <c r="Q957" s="121"/>
      <c r="R957" s="120"/>
      <c r="S957" s="120"/>
      <c r="T957" s="120"/>
      <c r="U957" s="120"/>
      <c r="X957" s="92"/>
    </row>
    <row r="958" spans="14:24" x14ac:dyDescent="0.2">
      <c r="N958" s="120"/>
      <c r="O958" s="121"/>
      <c r="P958" s="121"/>
      <c r="Q958" s="121"/>
      <c r="R958" s="120"/>
      <c r="S958" s="120"/>
      <c r="T958" s="120"/>
      <c r="U958" s="120"/>
      <c r="X958" s="92"/>
    </row>
    <row r="959" spans="14:24" x14ac:dyDescent="0.2">
      <c r="N959" s="120"/>
      <c r="O959" s="121"/>
      <c r="P959" s="121"/>
      <c r="Q959" s="121"/>
      <c r="R959" s="120"/>
      <c r="S959" s="120"/>
      <c r="T959" s="120"/>
      <c r="U959" s="120"/>
      <c r="X959" s="92"/>
    </row>
    <row r="960" spans="14:24" x14ac:dyDescent="0.2">
      <c r="N960" s="120"/>
      <c r="O960" s="121"/>
      <c r="P960" s="121"/>
      <c r="Q960" s="121"/>
      <c r="R960" s="120"/>
      <c r="S960" s="120"/>
      <c r="T960" s="120"/>
      <c r="U960" s="120"/>
      <c r="X960" s="92"/>
    </row>
    <row r="961" spans="14:24" x14ac:dyDescent="0.2">
      <c r="N961" s="120"/>
      <c r="O961" s="121"/>
      <c r="P961" s="121"/>
      <c r="Q961" s="121"/>
      <c r="R961" s="120"/>
      <c r="S961" s="120"/>
      <c r="T961" s="120"/>
      <c r="U961" s="120"/>
      <c r="X961" s="92"/>
    </row>
    <row r="962" spans="14:24" x14ac:dyDescent="0.2">
      <c r="N962" s="120"/>
      <c r="O962" s="121"/>
      <c r="P962" s="121"/>
      <c r="Q962" s="121"/>
      <c r="R962" s="120"/>
      <c r="S962" s="120"/>
      <c r="T962" s="120"/>
      <c r="U962" s="120"/>
      <c r="X962" s="92"/>
    </row>
    <row r="963" spans="14:24" x14ac:dyDescent="0.2">
      <c r="N963" s="120"/>
      <c r="O963" s="121"/>
      <c r="P963" s="121"/>
      <c r="Q963" s="121"/>
      <c r="R963" s="120"/>
      <c r="S963" s="120"/>
      <c r="T963" s="120"/>
      <c r="U963" s="120"/>
      <c r="X963" s="92"/>
    </row>
    <row r="964" spans="14:24" x14ac:dyDescent="0.2">
      <c r="N964" s="120"/>
      <c r="O964" s="121"/>
      <c r="P964" s="121"/>
      <c r="Q964" s="121"/>
      <c r="R964" s="120"/>
      <c r="S964" s="120"/>
      <c r="T964" s="120"/>
      <c r="U964" s="120"/>
      <c r="X964" s="92"/>
    </row>
    <row r="965" spans="14:24" x14ac:dyDescent="0.2">
      <c r="N965" s="120"/>
      <c r="O965" s="121"/>
      <c r="P965" s="121"/>
      <c r="Q965" s="121"/>
      <c r="R965" s="120"/>
      <c r="S965" s="120"/>
      <c r="T965" s="120"/>
      <c r="U965" s="120"/>
      <c r="X965" s="92"/>
    </row>
    <row r="966" spans="14:24" x14ac:dyDescent="0.2">
      <c r="N966" s="120"/>
      <c r="O966" s="121"/>
      <c r="P966" s="121"/>
      <c r="Q966" s="121"/>
      <c r="R966" s="120"/>
      <c r="S966" s="120"/>
      <c r="T966" s="120"/>
      <c r="U966" s="120"/>
      <c r="X966" s="92"/>
    </row>
    <row r="967" spans="14:24" x14ac:dyDescent="0.2">
      <c r="N967" s="120"/>
      <c r="O967" s="121"/>
      <c r="P967" s="121"/>
      <c r="Q967" s="121"/>
      <c r="R967" s="120"/>
      <c r="S967" s="120"/>
      <c r="T967" s="120"/>
      <c r="U967" s="120"/>
      <c r="X967" s="92"/>
    </row>
    <row r="968" spans="14:24" x14ac:dyDescent="0.2">
      <c r="N968" s="120"/>
      <c r="O968" s="121"/>
      <c r="P968" s="121"/>
      <c r="Q968" s="121"/>
      <c r="R968" s="120"/>
      <c r="S968" s="120"/>
      <c r="T968" s="120"/>
      <c r="U968" s="120"/>
      <c r="X968" s="92"/>
    </row>
    <row r="969" spans="14:24" x14ac:dyDescent="0.2">
      <c r="N969" s="120"/>
      <c r="O969" s="121"/>
      <c r="P969" s="121"/>
      <c r="Q969" s="121"/>
      <c r="R969" s="120"/>
      <c r="S969" s="120"/>
      <c r="T969" s="120"/>
      <c r="U969" s="120"/>
      <c r="X969" s="92"/>
    </row>
    <row r="970" spans="14:24" x14ac:dyDescent="0.2">
      <c r="N970" s="120"/>
      <c r="O970" s="121"/>
      <c r="P970" s="121"/>
      <c r="Q970" s="121"/>
      <c r="R970" s="120"/>
      <c r="S970" s="120"/>
      <c r="T970" s="120"/>
      <c r="U970" s="120"/>
      <c r="X970" s="92"/>
    </row>
    <row r="971" spans="14:24" x14ac:dyDescent="0.2">
      <c r="N971" s="120"/>
      <c r="O971" s="121"/>
      <c r="P971" s="121"/>
      <c r="Q971" s="121"/>
      <c r="R971" s="120"/>
      <c r="S971" s="120"/>
      <c r="T971" s="120"/>
      <c r="U971" s="120"/>
      <c r="X971" s="92"/>
    </row>
    <row r="972" spans="14:24" x14ac:dyDescent="0.2">
      <c r="N972" s="120"/>
      <c r="O972" s="121"/>
      <c r="P972" s="121"/>
      <c r="Q972" s="121"/>
      <c r="R972" s="120"/>
      <c r="S972" s="120"/>
      <c r="T972" s="120"/>
      <c r="U972" s="120"/>
      <c r="X972" s="92"/>
    </row>
    <row r="973" spans="14:24" x14ac:dyDescent="0.2">
      <c r="N973" s="120"/>
      <c r="O973" s="121"/>
      <c r="P973" s="121"/>
      <c r="Q973" s="121"/>
      <c r="R973" s="120"/>
      <c r="S973" s="120"/>
      <c r="T973" s="120"/>
      <c r="U973" s="120"/>
      <c r="X973" s="92"/>
    </row>
    <row r="974" spans="14:24" x14ac:dyDescent="0.2">
      <c r="N974" s="120"/>
      <c r="O974" s="121"/>
      <c r="P974" s="121"/>
      <c r="Q974" s="121"/>
      <c r="R974" s="120"/>
      <c r="S974" s="120"/>
      <c r="T974" s="120"/>
      <c r="U974" s="120"/>
      <c r="X974" s="92"/>
    </row>
    <row r="975" spans="14:24" x14ac:dyDescent="0.2">
      <c r="N975" s="120"/>
      <c r="O975" s="121"/>
      <c r="P975" s="121"/>
      <c r="Q975" s="121"/>
      <c r="R975" s="120"/>
      <c r="S975" s="120"/>
      <c r="T975" s="120"/>
      <c r="U975" s="120"/>
      <c r="X975" s="92"/>
    </row>
    <row r="976" spans="14:24" x14ac:dyDescent="0.2">
      <c r="N976" s="120"/>
      <c r="O976" s="121"/>
      <c r="P976" s="121"/>
      <c r="Q976" s="121"/>
      <c r="R976" s="120"/>
      <c r="S976" s="120"/>
      <c r="T976" s="120"/>
      <c r="U976" s="120"/>
      <c r="X976" s="92"/>
    </row>
    <row r="977" spans="14:24" x14ac:dyDescent="0.2">
      <c r="N977" s="120"/>
      <c r="O977" s="121"/>
      <c r="P977" s="121"/>
      <c r="Q977" s="121"/>
      <c r="R977" s="120"/>
      <c r="S977" s="120"/>
      <c r="T977" s="120"/>
      <c r="U977" s="120"/>
      <c r="X977" s="92"/>
    </row>
    <row r="978" spans="14:24" x14ac:dyDescent="0.2">
      <c r="N978" s="120"/>
      <c r="O978" s="121"/>
      <c r="P978" s="121"/>
      <c r="Q978" s="121"/>
      <c r="R978" s="120"/>
      <c r="S978" s="120"/>
      <c r="T978" s="120"/>
      <c r="U978" s="120"/>
      <c r="X978" s="92"/>
    </row>
    <row r="979" spans="14:24" x14ac:dyDescent="0.2">
      <c r="N979" s="120"/>
      <c r="O979" s="121"/>
      <c r="P979" s="121"/>
      <c r="Q979" s="121"/>
      <c r="R979" s="120"/>
      <c r="S979" s="120"/>
      <c r="T979" s="120"/>
      <c r="U979" s="120"/>
      <c r="X979" s="92"/>
    </row>
    <row r="980" spans="14:24" x14ac:dyDescent="0.2">
      <c r="N980" s="120"/>
      <c r="O980" s="121"/>
      <c r="P980" s="121"/>
      <c r="Q980" s="121"/>
      <c r="R980" s="120"/>
      <c r="S980" s="120"/>
      <c r="T980" s="120"/>
      <c r="U980" s="120"/>
      <c r="X980" s="92"/>
    </row>
    <row r="981" spans="14:24" x14ac:dyDescent="0.2">
      <c r="N981" s="120"/>
      <c r="O981" s="121"/>
      <c r="P981" s="121"/>
      <c r="Q981" s="121"/>
      <c r="R981" s="120"/>
      <c r="S981" s="120"/>
      <c r="T981" s="120"/>
      <c r="U981" s="120"/>
      <c r="X981" s="92"/>
    </row>
    <row r="982" spans="14:24" x14ac:dyDescent="0.2">
      <c r="N982" s="120"/>
      <c r="O982" s="121"/>
      <c r="P982" s="121"/>
      <c r="Q982" s="121"/>
      <c r="R982" s="120"/>
      <c r="S982" s="120"/>
      <c r="T982" s="120"/>
      <c r="U982" s="120"/>
      <c r="X982" s="92"/>
    </row>
    <row r="983" spans="14:24" x14ac:dyDescent="0.2">
      <c r="N983" s="120"/>
      <c r="O983" s="121"/>
      <c r="P983" s="121"/>
      <c r="Q983" s="121"/>
      <c r="R983" s="120"/>
      <c r="S983" s="120"/>
      <c r="T983" s="120"/>
      <c r="U983" s="120"/>
      <c r="X983" s="92"/>
    </row>
    <row r="984" spans="14:24" x14ac:dyDescent="0.2">
      <c r="N984" s="120"/>
      <c r="O984" s="121"/>
      <c r="P984" s="121"/>
      <c r="Q984" s="121"/>
      <c r="R984" s="120"/>
      <c r="S984" s="120"/>
      <c r="T984" s="120"/>
      <c r="U984" s="120"/>
      <c r="X984" s="92"/>
    </row>
    <row r="985" spans="14:24" x14ac:dyDescent="0.2">
      <c r="N985" s="120"/>
      <c r="O985" s="121"/>
      <c r="P985" s="121"/>
      <c r="Q985" s="121"/>
      <c r="R985" s="120"/>
      <c r="S985" s="120"/>
      <c r="T985" s="120"/>
      <c r="U985" s="120"/>
      <c r="X985" s="92"/>
    </row>
    <row r="986" spans="14:24" x14ac:dyDescent="0.2">
      <c r="N986" s="120"/>
      <c r="O986" s="121"/>
      <c r="P986" s="121"/>
      <c r="Q986" s="121"/>
      <c r="R986" s="120"/>
      <c r="S986" s="120"/>
      <c r="T986" s="120"/>
      <c r="U986" s="120"/>
      <c r="X986" s="92"/>
    </row>
    <row r="987" spans="14:24" x14ac:dyDescent="0.2">
      <c r="N987" s="120"/>
      <c r="O987" s="121"/>
      <c r="P987" s="121"/>
      <c r="Q987" s="121"/>
      <c r="R987" s="120"/>
      <c r="S987" s="120"/>
      <c r="T987" s="120"/>
      <c r="U987" s="120"/>
      <c r="X987" s="92"/>
    </row>
    <row r="988" spans="14:24" x14ac:dyDescent="0.2">
      <c r="N988" s="120"/>
      <c r="O988" s="121"/>
      <c r="P988" s="121"/>
      <c r="Q988" s="121"/>
      <c r="R988" s="120"/>
      <c r="S988" s="120"/>
      <c r="T988" s="120"/>
      <c r="U988" s="120"/>
      <c r="X988" s="92"/>
    </row>
    <row r="989" spans="14:24" x14ac:dyDescent="0.2">
      <c r="N989" s="120"/>
      <c r="O989" s="121"/>
      <c r="P989" s="121"/>
      <c r="Q989" s="121"/>
      <c r="R989" s="120"/>
      <c r="S989" s="120"/>
      <c r="T989" s="120"/>
      <c r="U989" s="120"/>
      <c r="X989" s="92"/>
    </row>
    <row r="990" spans="14:24" x14ac:dyDescent="0.2">
      <c r="N990" s="120"/>
      <c r="O990" s="121"/>
      <c r="P990" s="121"/>
      <c r="Q990" s="121"/>
      <c r="R990" s="120"/>
      <c r="S990" s="120"/>
      <c r="T990" s="120"/>
      <c r="U990" s="120"/>
      <c r="X990" s="92"/>
    </row>
    <row r="991" spans="14:24" x14ac:dyDescent="0.2">
      <c r="N991" s="120"/>
      <c r="O991" s="121"/>
      <c r="P991" s="121"/>
      <c r="Q991" s="121"/>
      <c r="R991" s="120"/>
      <c r="S991" s="120"/>
      <c r="T991" s="120"/>
      <c r="U991" s="120"/>
      <c r="X991" s="92"/>
    </row>
    <row r="992" spans="14:24" x14ac:dyDescent="0.2">
      <c r="N992" s="120"/>
      <c r="O992" s="121"/>
      <c r="P992" s="121"/>
      <c r="Q992" s="121"/>
      <c r="R992" s="120"/>
      <c r="S992" s="120"/>
      <c r="T992" s="120"/>
      <c r="U992" s="120"/>
      <c r="X992" s="92"/>
    </row>
    <row r="993" spans="14:24" x14ac:dyDescent="0.2">
      <c r="N993" s="120"/>
      <c r="O993" s="121"/>
      <c r="P993" s="121"/>
      <c r="Q993" s="121"/>
      <c r="R993" s="120"/>
      <c r="S993" s="120"/>
      <c r="T993" s="120"/>
      <c r="U993" s="120"/>
      <c r="X993" s="92"/>
    </row>
    <row r="994" spans="14:24" x14ac:dyDescent="0.2">
      <c r="N994" s="120"/>
      <c r="O994" s="121"/>
      <c r="P994" s="121"/>
      <c r="Q994" s="121"/>
      <c r="R994" s="120"/>
      <c r="S994" s="120"/>
      <c r="T994" s="120"/>
      <c r="U994" s="120"/>
      <c r="X994" s="92"/>
    </row>
    <row r="995" spans="14:24" x14ac:dyDescent="0.2">
      <c r="N995" s="120"/>
      <c r="O995" s="121"/>
      <c r="P995" s="121"/>
      <c r="Q995" s="121"/>
      <c r="R995" s="120"/>
      <c r="S995" s="120"/>
      <c r="T995" s="120"/>
      <c r="U995" s="120"/>
      <c r="X995" s="92"/>
    </row>
    <row r="996" spans="14:24" x14ac:dyDescent="0.2">
      <c r="N996" s="120"/>
      <c r="O996" s="121"/>
      <c r="P996" s="121"/>
      <c r="Q996" s="121"/>
      <c r="R996" s="120"/>
      <c r="S996" s="120"/>
      <c r="T996" s="120"/>
      <c r="U996" s="120"/>
      <c r="X996" s="92"/>
    </row>
    <row r="997" spans="14:24" x14ac:dyDescent="0.2">
      <c r="N997" s="120"/>
      <c r="O997" s="121"/>
      <c r="P997" s="121"/>
      <c r="Q997" s="121"/>
      <c r="R997" s="120"/>
      <c r="S997" s="120"/>
      <c r="T997" s="120"/>
      <c r="U997" s="120"/>
      <c r="X997" s="92"/>
    </row>
    <row r="998" spans="14:24" x14ac:dyDescent="0.2">
      <c r="N998" s="120"/>
      <c r="O998" s="121"/>
      <c r="P998" s="121"/>
      <c r="Q998" s="121"/>
      <c r="R998" s="120"/>
      <c r="S998" s="120"/>
      <c r="T998" s="120"/>
      <c r="U998" s="120"/>
      <c r="X998" s="92"/>
    </row>
    <row r="999" spans="14:24" x14ac:dyDescent="0.2">
      <c r="N999" s="120"/>
      <c r="O999" s="121"/>
      <c r="P999" s="121"/>
      <c r="Q999" s="121"/>
      <c r="R999" s="120"/>
      <c r="S999" s="120"/>
      <c r="T999" s="120"/>
      <c r="U999" s="120"/>
      <c r="X999" s="92"/>
    </row>
    <row r="1000" spans="14:24" x14ac:dyDescent="0.2">
      <c r="N1000" s="120"/>
      <c r="O1000" s="121"/>
      <c r="P1000" s="121"/>
      <c r="Q1000" s="121"/>
      <c r="R1000" s="120"/>
      <c r="S1000" s="120"/>
      <c r="T1000" s="120"/>
      <c r="U1000" s="120"/>
      <c r="X1000" s="92"/>
    </row>
    <row r="1001" spans="14:24" x14ac:dyDescent="0.2">
      <c r="N1001" s="120"/>
      <c r="O1001" s="121"/>
      <c r="P1001" s="121"/>
      <c r="Q1001" s="121"/>
      <c r="R1001" s="120"/>
      <c r="S1001" s="120"/>
      <c r="T1001" s="120"/>
      <c r="U1001" s="120"/>
      <c r="X1001" s="92"/>
    </row>
    <row r="1002" spans="14:24" x14ac:dyDescent="0.2">
      <c r="N1002" s="120"/>
      <c r="O1002" s="121"/>
      <c r="P1002" s="121"/>
      <c r="Q1002" s="121"/>
      <c r="R1002" s="120"/>
      <c r="S1002" s="120"/>
      <c r="T1002" s="120"/>
      <c r="U1002" s="120"/>
      <c r="X1002" s="92"/>
    </row>
    <row r="1003" spans="14:24" x14ac:dyDescent="0.2">
      <c r="N1003" s="120"/>
      <c r="O1003" s="121"/>
      <c r="P1003" s="121"/>
      <c r="Q1003" s="121"/>
      <c r="R1003" s="120"/>
      <c r="S1003" s="120"/>
      <c r="T1003" s="120"/>
      <c r="U1003" s="120"/>
      <c r="X1003" s="92"/>
    </row>
    <row r="1004" spans="14:24" x14ac:dyDescent="0.2">
      <c r="N1004" s="120"/>
      <c r="O1004" s="121"/>
      <c r="P1004" s="121"/>
      <c r="Q1004" s="121"/>
      <c r="R1004" s="120"/>
      <c r="S1004" s="120"/>
      <c r="T1004" s="120"/>
      <c r="U1004" s="120"/>
      <c r="X1004" s="92"/>
    </row>
    <row r="1005" spans="14:24" x14ac:dyDescent="0.2">
      <c r="N1005" s="120"/>
      <c r="O1005" s="121"/>
      <c r="P1005" s="121"/>
      <c r="Q1005" s="121"/>
      <c r="R1005" s="120"/>
      <c r="S1005" s="120"/>
      <c r="T1005" s="120"/>
      <c r="U1005" s="120"/>
      <c r="X1005" s="92"/>
    </row>
    <row r="1006" spans="14:24" x14ac:dyDescent="0.2">
      <c r="N1006" s="120"/>
      <c r="O1006" s="121"/>
      <c r="P1006" s="121"/>
      <c r="Q1006" s="121"/>
      <c r="R1006" s="120"/>
      <c r="S1006" s="120"/>
      <c r="T1006" s="120"/>
      <c r="U1006" s="120"/>
      <c r="X1006" s="92"/>
    </row>
    <row r="1007" spans="14:24" x14ac:dyDescent="0.2">
      <c r="N1007" s="120"/>
      <c r="O1007" s="121"/>
      <c r="P1007" s="121"/>
      <c r="Q1007" s="121"/>
      <c r="R1007" s="120"/>
      <c r="S1007" s="120"/>
      <c r="T1007" s="120"/>
      <c r="U1007" s="120"/>
      <c r="X1007" s="92"/>
    </row>
    <row r="1008" spans="14:24" x14ac:dyDescent="0.2">
      <c r="N1008" s="120"/>
      <c r="O1008" s="121"/>
      <c r="P1008" s="121"/>
      <c r="Q1008" s="121"/>
      <c r="R1008" s="120"/>
      <c r="S1008" s="120"/>
      <c r="T1008" s="120"/>
      <c r="U1008" s="120"/>
      <c r="X1008" s="92"/>
    </row>
    <row r="1009" spans="14:24" x14ac:dyDescent="0.2">
      <c r="N1009" s="120"/>
      <c r="O1009" s="121"/>
      <c r="P1009" s="121"/>
      <c r="Q1009" s="121"/>
      <c r="R1009" s="120"/>
      <c r="S1009" s="120"/>
      <c r="T1009" s="120"/>
      <c r="U1009" s="120"/>
      <c r="X1009" s="92"/>
    </row>
    <row r="1010" spans="14:24" x14ac:dyDescent="0.2">
      <c r="N1010" s="120"/>
      <c r="O1010" s="121"/>
      <c r="P1010" s="121"/>
      <c r="Q1010" s="121"/>
      <c r="R1010" s="120"/>
      <c r="S1010" s="120"/>
      <c r="T1010" s="120"/>
      <c r="U1010" s="120"/>
      <c r="X1010" s="92"/>
    </row>
    <row r="1011" spans="14:24" x14ac:dyDescent="0.2">
      <c r="N1011" s="120"/>
      <c r="O1011" s="121"/>
      <c r="P1011" s="121"/>
      <c r="Q1011" s="121"/>
      <c r="R1011" s="120"/>
      <c r="S1011" s="120"/>
      <c r="T1011" s="120"/>
      <c r="U1011" s="120"/>
      <c r="X1011" s="92"/>
    </row>
    <row r="1012" spans="14:24" x14ac:dyDescent="0.2">
      <c r="N1012" s="120"/>
      <c r="O1012" s="121"/>
      <c r="P1012" s="121"/>
      <c r="Q1012" s="121"/>
      <c r="R1012" s="120"/>
      <c r="S1012" s="120"/>
      <c r="T1012" s="120"/>
      <c r="U1012" s="120"/>
      <c r="X1012" s="92"/>
    </row>
    <row r="1013" spans="14:24" x14ac:dyDescent="0.2">
      <c r="N1013" s="120"/>
      <c r="O1013" s="121"/>
      <c r="P1013" s="121"/>
      <c r="Q1013" s="121"/>
      <c r="R1013" s="120"/>
      <c r="S1013" s="120"/>
      <c r="T1013" s="120"/>
      <c r="U1013" s="120"/>
      <c r="X1013" s="92"/>
    </row>
    <row r="1014" spans="14:24" x14ac:dyDescent="0.2">
      <c r="N1014" s="120"/>
      <c r="O1014" s="121"/>
      <c r="P1014" s="121"/>
      <c r="Q1014" s="121"/>
      <c r="R1014" s="120"/>
      <c r="S1014" s="120"/>
      <c r="T1014" s="120"/>
      <c r="U1014" s="120"/>
      <c r="X1014" s="92"/>
    </row>
    <row r="1015" spans="14:24" x14ac:dyDescent="0.2">
      <c r="N1015" s="120"/>
      <c r="O1015" s="121"/>
      <c r="P1015" s="121"/>
      <c r="Q1015" s="121"/>
      <c r="R1015" s="120"/>
      <c r="S1015" s="120"/>
      <c r="T1015" s="120"/>
      <c r="U1015" s="120"/>
      <c r="X1015" s="92"/>
    </row>
    <row r="1016" spans="14:24" x14ac:dyDescent="0.2">
      <c r="N1016" s="120"/>
      <c r="O1016" s="121"/>
      <c r="P1016" s="121"/>
      <c r="Q1016" s="121"/>
      <c r="R1016" s="120"/>
      <c r="S1016" s="120"/>
      <c r="T1016" s="120"/>
      <c r="U1016" s="120"/>
      <c r="X1016" s="92"/>
    </row>
    <row r="1017" spans="14:24" x14ac:dyDescent="0.2">
      <c r="N1017" s="120"/>
      <c r="O1017" s="121"/>
      <c r="P1017" s="121"/>
      <c r="Q1017" s="121"/>
      <c r="R1017" s="120"/>
      <c r="S1017" s="120"/>
      <c r="T1017" s="120"/>
      <c r="U1017" s="120"/>
      <c r="X1017" s="92"/>
    </row>
    <row r="1018" spans="14:24" x14ac:dyDescent="0.2">
      <c r="N1018" s="120"/>
      <c r="O1018" s="121"/>
      <c r="P1018" s="121"/>
      <c r="Q1018" s="121"/>
      <c r="R1018" s="120"/>
      <c r="S1018" s="120"/>
      <c r="T1018" s="120"/>
      <c r="U1018" s="120"/>
      <c r="X1018" s="92"/>
    </row>
    <row r="1019" spans="14:24" x14ac:dyDescent="0.2">
      <c r="N1019" s="120"/>
      <c r="O1019" s="121"/>
      <c r="P1019" s="121"/>
      <c r="Q1019" s="121"/>
      <c r="R1019" s="120"/>
      <c r="S1019" s="120"/>
      <c r="T1019" s="120"/>
      <c r="U1019" s="120"/>
      <c r="X1019" s="92"/>
    </row>
    <row r="1020" spans="14:24" x14ac:dyDescent="0.2">
      <c r="N1020" s="120"/>
      <c r="O1020" s="121"/>
      <c r="P1020" s="121"/>
      <c r="Q1020" s="121"/>
      <c r="R1020" s="120"/>
      <c r="S1020" s="120"/>
      <c r="T1020" s="120"/>
      <c r="U1020" s="120"/>
      <c r="X1020" s="92"/>
    </row>
    <row r="1021" spans="14:24" x14ac:dyDescent="0.2">
      <c r="N1021" s="120"/>
      <c r="O1021" s="121"/>
      <c r="P1021" s="121"/>
      <c r="Q1021" s="121"/>
      <c r="R1021" s="120"/>
      <c r="S1021" s="120"/>
      <c r="T1021" s="120"/>
      <c r="U1021" s="120"/>
      <c r="X1021" s="92"/>
    </row>
    <row r="1022" spans="14:24" x14ac:dyDescent="0.2">
      <c r="N1022" s="120"/>
      <c r="O1022" s="121"/>
      <c r="P1022" s="121"/>
      <c r="Q1022" s="121"/>
      <c r="R1022" s="120"/>
      <c r="S1022" s="120"/>
      <c r="T1022" s="120"/>
      <c r="U1022" s="120"/>
      <c r="X1022" s="92"/>
    </row>
    <row r="1023" spans="14:24" x14ac:dyDescent="0.2">
      <c r="N1023" s="120"/>
      <c r="O1023" s="121"/>
      <c r="P1023" s="121"/>
      <c r="Q1023" s="121"/>
      <c r="R1023" s="120"/>
      <c r="S1023" s="120"/>
      <c r="T1023" s="120"/>
      <c r="U1023" s="120"/>
      <c r="X1023" s="92"/>
    </row>
    <row r="1024" spans="14:24" x14ac:dyDescent="0.2">
      <c r="N1024" s="120"/>
      <c r="O1024" s="121"/>
      <c r="P1024" s="121"/>
      <c r="Q1024" s="121"/>
      <c r="R1024" s="120"/>
      <c r="S1024" s="120"/>
      <c r="T1024" s="120"/>
      <c r="U1024" s="120"/>
      <c r="X1024" s="92"/>
    </row>
    <row r="1025" spans="14:24" x14ac:dyDescent="0.2">
      <c r="N1025" s="120"/>
      <c r="O1025" s="121"/>
      <c r="P1025" s="121"/>
      <c r="Q1025" s="121"/>
      <c r="R1025" s="120"/>
      <c r="S1025" s="120"/>
      <c r="T1025" s="120"/>
      <c r="U1025" s="120"/>
      <c r="X1025" s="92"/>
    </row>
    <row r="1026" spans="14:24" x14ac:dyDescent="0.2">
      <c r="N1026" s="120"/>
      <c r="O1026" s="121"/>
      <c r="P1026" s="121"/>
      <c r="Q1026" s="121"/>
      <c r="R1026" s="120"/>
      <c r="S1026" s="120"/>
      <c r="T1026" s="120"/>
      <c r="U1026" s="120"/>
      <c r="X1026" s="92"/>
    </row>
    <row r="1027" spans="14:24" x14ac:dyDescent="0.2">
      <c r="N1027" s="120"/>
      <c r="O1027" s="121"/>
      <c r="P1027" s="121"/>
      <c r="Q1027" s="121"/>
      <c r="R1027" s="120"/>
      <c r="S1027" s="120"/>
      <c r="T1027" s="120"/>
      <c r="U1027" s="120"/>
      <c r="X1027" s="92"/>
    </row>
    <row r="1028" spans="14:24" x14ac:dyDescent="0.2">
      <c r="N1028" s="120"/>
      <c r="O1028" s="121"/>
      <c r="P1028" s="121"/>
      <c r="Q1028" s="121"/>
      <c r="R1028" s="120"/>
      <c r="S1028" s="120"/>
      <c r="T1028" s="120"/>
      <c r="U1028" s="120"/>
      <c r="X1028" s="92"/>
    </row>
    <row r="1029" spans="14:24" x14ac:dyDescent="0.2">
      <c r="N1029" s="120"/>
      <c r="O1029" s="121"/>
      <c r="P1029" s="121"/>
      <c r="Q1029" s="121"/>
      <c r="R1029" s="120"/>
      <c r="S1029" s="120"/>
      <c r="T1029" s="120"/>
      <c r="U1029" s="120"/>
      <c r="X1029" s="92"/>
    </row>
    <row r="1030" spans="14:24" x14ac:dyDescent="0.2">
      <c r="N1030" s="120"/>
      <c r="O1030" s="121"/>
      <c r="P1030" s="121"/>
      <c r="Q1030" s="121"/>
      <c r="R1030" s="120"/>
      <c r="S1030" s="120"/>
      <c r="T1030" s="120"/>
      <c r="U1030" s="120"/>
      <c r="X1030" s="92"/>
    </row>
    <row r="1031" spans="14:24" x14ac:dyDescent="0.2">
      <c r="N1031" s="120"/>
      <c r="O1031" s="121"/>
      <c r="P1031" s="121"/>
      <c r="Q1031" s="121"/>
      <c r="R1031" s="120"/>
      <c r="S1031" s="120"/>
      <c r="T1031" s="120"/>
      <c r="U1031" s="120"/>
      <c r="X1031" s="92"/>
    </row>
    <row r="1032" spans="14:24" x14ac:dyDescent="0.2">
      <c r="N1032" s="120"/>
      <c r="O1032" s="121"/>
      <c r="P1032" s="121"/>
      <c r="Q1032" s="121"/>
      <c r="R1032" s="120"/>
      <c r="S1032" s="120"/>
      <c r="T1032" s="120"/>
      <c r="U1032" s="120"/>
      <c r="X1032" s="92"/>
    </row>
    <row r="1033" spans="14:24" x14ac:dyDescent="0.2">
      <c r="N1033" s="120"/>
      <c r="O1033" s="121"/>
      <c r="P1033" s="121"/>
      <c r="Q1033" s="121"/>
      <c r="R1033" s="120"/>
      <c r="S1033" s="120"/>
      <c r="T1033" s="120"/>
      <c r="U1033" s="120"/>
      <c r="X1033" s="92"/>
    </row>
    <row r="1034" spans="14:24" x14ac:dyDescent="0.2">
      <c r="N1034" s="120"/>
      <c r="O1034" s="121"/>
      <c r="P1034" s="121"/>
      <c r="Q1034" s="121"/>
      <c r="R1034" s="120"/>
      <c r="S1034" s="120"/>
      <c r="T1034" s="120"/>
      <c r="U1034" s="120"/>
      <c r="X1034" s="92"/>
    </row>
    <row r="1035" spans="14:24" x14ac:dyDescent="0.2">
      <c r="N1035" s="120"/>
      <c r="O1035" s="121"/>
      <c r="P1035" s="121"/>
      <c r="Q1035" s="121"/>
      <c r="R1035" s="120"/>
      <c r="S1035" s="120"/>
      <c r="T1035" s="120"/>
      <c r="U1035" s="120"/>
      <c r="X1035" s="92"/>
    </row>
    <row r="1036" spans="14:24" x14ac:dyDescent="0.2">
      <c r="N1036" s="120"/>
      <c r="O1036" s="121"/>
      <c r="P1036" s="121"/>
      <c r="Q1036" s="121"/>
      <c r="R1036" s="120"/>
      <c r="S1036" s="120"/>
      <c r="T1036" s="120"/>
      <c r="U1036" s="120"/>
      <c r="X1036" s="92"/>
    </row>
    <row r="1037" spans="14:24" x14ac:dyDescent="0.2">
      <c r="N1037" s="120"/>
      <c r="O1037" s="121"/>
      <c r="P1037" s="121"/>
      <c r="Q1037" s="121"/>
      <c r="R1037" s="120"/>
      <c r="S1037" s="120"/>
      <c r="T1037" s="120"/>
      <c r="U1037" s="120"/>
      <c r="X1037" s="92"/>
    </row>
    <row r="1038" spans="14:24" x14ac:dyDescent="0.2">
      <c r="N1038" s="120"/>
      <c r="O1038" s="121"/>
      <c r="P1038" s="121"/>
      <c r="Q1038" s="121"/>
      <c r="R1038" s="120"/>
      <c r="S1038" s="120"/>
      <c r="T1038" s="120"/>
      <c r="U1038" s="120"/>
      <c r="X1038" s="92"/>
    </row>
    <row r="1039" spans="14:24" x14ac:dyDescent="0.2">
      <c r="N1039" s="120"/>
      <c r="O1039" s="121"/>
      <c r="P1039" s="121"/>
      <c r="Q1039" s="121"/>
      <c r="R1039" s="120"/>
      <c r="S1039" s="120"/>
      <c r="T1039" s="120"/>
      <c r="U1039" s="120"/>
      <c r="X1039" s="92"/>
    </row>
    <row r="1040" spans="14:24" x14ac:dyDescent="0.2">
      <c r="N1040" s="120"/>
      <c r="O1040" s="121"/>
      <c r="P1040" s="121"/>
      <c r="Q1040" s="121"/>
      <c r="R1040" s="120"/>
      <c r="S1040" s="120"/>
      <c r="T1040" s="120"/>
      <c r="U1040" s="120"/>
      <c r="X1040" s="92"/>
    </row>
    <row r="1041" spans="14:24" x14ac:dyDescent="0.2">
      <c r="N1041" s="120"/>
      <c r="O1041" s="121"/>
      <c r="P1041" s="121"/>
      <c r="Q1041" s="121"/>
      <c r="R1041" s="120"/>
      <c r="S1041" s="120"/>
      <c r="T1041" s="120"/>
      <c r="U1041" s="120"/>
      <c r="X1041" s="92"/>
    </row>
    <row r="1042" spans="14:24" x14ac:dyDescent="0.2">
      <c r="N1042" s="120"/>
      <c r="O1042" s="121"/>
      <c r="P1042" s="121"/>
      <c r="Q1042" s="121"/>
      <c r="R1042" s="120"/>
      <c r="S1042" s="120"/>
      <c r="T1042" s="120"/>
      <c r="U1042" s="120"/>
      <c r="X1042" s="92"/>
    </row>
    <row r="1043" spans="14:24" x14ac:dyDescent="0.2">
      <c r="N1043" s="120"/>
      <c r="O1043" s="121"/>
      <c r="P1043" s="121"/>
      <c r="Q1043" s="121"/>
      <c r="R1043" s="120"/>
      <c r="S1043" s="120"/>
      <c r="T1043" s="120"/>
      <c r="U1043" s="120"/>
      <c r="X1043" s="92"/>
    </row>
    <row r="1044" spans="14:24" x14ac:dyDescent="0.2">
      <c r="N1044" s="120"/>
      <c r="O1044" s="121"/>
      <c r="P1044" s="121"/>
      <c r="Q1044" s="121"/>
      <c r="R1044" s="120"/>
      <c r="S1044" s="120"/>
      <c r="T1044" s="120"/>
      <c r="U1044" s="120"/>
      <c r="X1044" s="92"/>
    </row>
    <row r="1045" spans="14:24" x14ac:dyDescent="0.2">
      <c r="N1045" s="120"/>
      <c r="O1045" s="121"/>
      <c r="P1045" s="121"/>
      <c r="Q1045" s="121"/>
      <c r="R1045" s="120"/>
      <c r="S1045" s="120"/>
      <c r="T1045" s="120"/>
      <c r="U1045" s="120"/>
      <c r="X1045" s="92"/>
    </row>
    <row r="1046" spans="14:24" x14ac:dyDescent="0.2">
      <c r="N1046" s="120"/>
      <c r="O1046" s="121"/>
      <c r="P1046" s="121"/>
      <c r="Q1046" s="121"/>
      <c r="R1046" s="120"/>
      <c r="S1046" s="120"/>
      <c r="T1046" s="120"/>
      <c r="U1046" s="120"/>
      <c r="X1046" s="92"/>
    </row>
    <row r="1047" spans="14:24" x14ac:dyDescent="0.2">
      <c r="N1047" s="120"/>
      <c r="O1047" s="121"/>
      <c r="P1047" s="121"/>
      <c r="Q1047" s="121"/>
      <c r="R1047" s="120"/>
      <c r="S1047" s="120"/>
      <c r="T1047" s="120"/>
      <c r="U1047" s="120"/>
      <c r="X1047" s="92"/>
    </row>
    <row r="1048" spans="14:24" x14ac:dyDescent="0.2">
      <c r="N1048" s="120"/>
      <c r="O1048" s="121"/>
      <c r="P1048" s="121"/>
      <c r="Q1048" s="121"/>
      <c r="R1048" s="120"/>
      <c r="S1048" s="120"/>
      <c r="T1048" s="120"/>
      <c r="U1048" s="120"/>
      <c r="X1048" s="92"/>
    </row>
    <row r="1049" spans="14:24" x14ac:dyDescent="0.2">
      <c r="N1049" s="120"/>
      <c r="O1049" s="121"/>
      <c r="P1049" s="121"/>
      <c r="Q1049" s="121"/>
      <c r="R1049" s="120"/>
      <c r="S1049" s="120"/>
      <c r="T1049" s="120"/>
      <c r="U1049" s="120"/>
      <c r="X1049" s="92"/>
    </row>
    <row r="1050" spans="14:24" x14ac:dyDescent="0.2">
      <c r="N1050" s="120"/>
      <c r="O1050" s="121"/>
      <c r="P1050" s="121"/>
      <c r="Q1050" s="121"/>
      <c r="R1050" s="120"/>
      <c r="S1050" s="120"/>
      <c r="T1050" s="120"/>
      <c r="U1050" s="120"/>
      <c r="X1050" s="92"/>
    </row>
    <row r="1051" spans="14:24" x14ac:dyDescent="0.2">
      <c r="N1051" s="120"/>
      <c r="O1051" s="121"/>
      <c r="P1051" s="121"/>
      <c r="Q1051" s="121"/>
      <c r="R1051" s="120"/>
      <c r="S1051" s="120"/>
      <c r="T1051" s="120"/>
      <c r="U1051" s="120"/>
      <c r="X1051" s="92"/>
    </row>
    <row r="1052" spans="14:24" x14ac:dyDescent="0.2">
      <c r="N1052" s="120"/>
      <c r="O1052" s="121"/>
      <c r="P1052" s="121"/>
      <c r="Q1052" s="121"/>
      <c r="R1052" s="120"/>
      <c r="S1052" s="120"/>
      <c r="T1052" s="120"/>
      <c r="U1052" s="120"/>
      <c r="X1052" s="92"/>
    </row>
    <row r="1053" spans="14:24" x14ac:dyDescent="0.2">
      <c r="N1053" s="120"/>
      <c r="O1053" s="121"/>
      <c r="P1053" s="121"/>
      <c r="Q1053" s="121"/>
      <c r="R1053" s="120"/>
      <c r="S1053" s="120"/>
      <c r="T1053" s="120"/>
      <c r="U1053" s="120"/>
      <c r="X1053" s="92"/>
    </row>
    <row r="1054" spans="14:24" x14ac:dyDescent="0.2">
      <c r="N1054" s="120"/>
      <c r="O1054" s="121"/>
      <c r="P1054" s="121"/>
      <c r="Q1054" s="121"/>
      <c r="R1054" s="120"/>
      <c r="S1054" s="120"/>
      <c r="T1054" s="120"/>
      <c r="U1054" s="120"/>
      <c r="X1054" s="92"/>
    </row>
    <row r="1055" spans="14:24" x14ac:dyDescent="0.2">
      <c r="N1055" s="120"/>
      <c r="O1055" s="121"/>
      <c r="P1055" s="121"/>
      <c r="Q1055" s="121"/>
      <c r="R1055" s="120"/>
      <c r="S1055" s="120"/>
      <c r="T1055" s="120"/>
      <c r="U1055" s="120"/>
      <c r="X1055" s="92"/>
    </row>
    <row r="1056" spans="14:24" x14ac:dyDescent="0.2">
      <c r="N1056" s="120"/>
      <c r="O1056" s="121"/>
      <c r="P1056" s="121"/>
      <c r="Q1056" s="121"/>
      <c r="R1056" s="120"/>
      <c r="S1056" s="120"/>
      <c r="T1056" s="120"/>
      <c r="U1056" s="120"/>
      <c r="X1056" s="92"/>
    </row>
    <row r="1057" spans="14:24" x14ac:dyDescent="0.2">
      <c r="N1057" s="120"/>
      <c r="O1057" s="121"/>
      <c r="P1057" s="121"/>
      <c r="Q1057" s="121"/>
      <c r="R1057" s="120"/>
      <c r="S1057" s="120"/>
      <c r="T1057" s="120"/>
      <c r="U1057" s="120"/>
      <c r="X1057" s="92"/>
    </row>
    <row r="1058" spans="14:24" x14ac:dyDescent="0.2">
      <c r="N1058" s="120"/>
      <c r="O1058" s="121"/>
      <c r="P1058" s="121"/>
      <c r="Q1058" s="121"/>
      <c r="R1058" s="120"/>
      <c r="S1058" s="120"/>
      <c r="T1058" s="120"/>
      <c r="U1058" s="120"/>
      <c r="X1058" s="92"/>
    </row>
    <row r="1059" spans="14:24" x14ac:dyDescent="0.2">
      <c r="N1059" s="120"/>
      <c r="O1059" s="121"/>
      <c r="P1059" s="121"/>
      <c r="Q1059" s="121"/>
      <c r="R1059" s="120"/>
      <c r="S1059" s="120"/>
      <c r="T1059" s="120"/>
      <c r="U1059" s="120"/>
      <c r="X1059" s="92"/>
    </row>
    <row r="1060" spans="14:24" x14ac:dyDescent="0.2">
      <c r="N1060" s="120"/>
      <c r="O1060" s="121"/>
      <c r="P1060" s="121"/>
      <c r="Q1060" s="121"/>
      <c r="R1060" s="120"/>
      <c r="S1060" s="120"/>
      <c r="T1060" s="120"/>
      <c r="U1060" s="120"/>
      <c r="X1060" s="92"/>
    </row>
    <row r="1061" spans="14:24" x14ac:dyDescent="0.2">
      <c r="N1061" s="120"/>
      <c r="O1061" s="121"/>
      <c r="P1061" s="121"/>
      <c r="Q1061" s="121"/>
      <c r="R1061" s="120"/>
      <c r="S1061" s="120"/>
      <c r="T1061" s="120"/>
      <c r="U1061" s="120"/>
      <c r="X1061" s="92"/>
    </row>
    <row r="1062" spans="14:24" x14ac:dyDescent="0.2">
      <c r="N1062" s="120"/>
      <c r="O1062" s="121"/>
      <c r="P1062" s="121"/>
      <c r="Q1062" s="121"/>
      <c r="R1062" s="120"/>
      <c r="S1062" s="120"/>
      <c r="T1062" s="120"/>
      <c r="U1062" s="120"/>
      <c r="X1062" s="92"/>
    </row>
    <row r="1063" spans="14:24" x14ac:dyDescent="0.2">
      <c r="N1063" s="120"/>
      <c r="O1063" s="121"/>
      <c r="P1063" s="121"/>
      <c r="Q1063" s="121"/>
      <c r="R1063" s="120"/>
      <c r="S1063" s="120"/>
      <c r="T1063" s="120"/>
      <c r="U1063" s="120"/>
      <c r="X1063" s="92"/>
    </row>
    <row r="1064" spans="14:24" x14ac:dyDescent="0.2">
      <c r="N1064" s="120"/>
      <c r="O1064" s="121"/>
      <c r="P1064" s="121"/>
      <c r="Q1064" s="121"/>
      <c r="R1064" s="120"/>
      <c r="S1064" s="120"/>
      <c r="T1064" s="120"/>
      <c r="U1064" s="120"/>
      <c r="X1064" s="92"/>
    </row>
    <row r="1065" spans="14:24" x14ac:dyDescent="0.2">
      <c r="N1065" s="120"/>
      <c r="O1065" s="121"/>
      <c r="P1065" s="121"/>
      <c r="Q1065" s="121"/>
      <c r="R1065" s="120"/>
      <c r="S1065" s="120"/>
      <c r="T1065" s="120"/>
      <c r="U1065" s="120"/>
      <c r="X1065" s="92"/>
    </row>
    <row r="1066" spans="14:24" x14ac:dyDescent="0.2">
      <c r="N1066" s="120"/>
      <c r="O1066" s="121"/>
      <c r="P1066" s="121"/>
      <c r="Q1066" s="121"/>
      <c r="R1066" s="120"/>
      <c r="S1066" s="120"/>
      <c r="T1066" s="120"/>
      <c r="U1066" s="120"/>
      <c r="X1066" s="92"/>
    </row>
    <row r="1067" spans="14:24" x14ac:dyDescent="0.2">
      <c r="N1067" s="120"/>
      <c r="O1067" s="121"/>
      <c r="P1067" s="121"/>
      <c r="Q1067" s="121"/>
      <c r="R1067" s="120"/>
      <c r="S1067" s="120"/>
      <c r="T1067" s="120"/>
      <c r="U1067" s="120"/>
      <c r="X1067" s="92"/>
    </row>
    <row r="1068" spans="14:24" x14ac:dyDescent="0.2">
      <c r="N1068" s="120"/>
      <c r="O1068" s="121"/>
      <c r="P1068" s="121"/>
      <c r="Q1068" s="121"/>
      <c r="R1068" s="120"/>
      <c r="S1068" s="120"/>
      <c r="T1068" s="120"/>
      <c r="U1068" s="120"/>
      <c r="X1068" s="92"/>
    </row>
    <row r="1069" spans="14:24" x14ac:dyDescent="0.2">
      <c r="N1069" s="120"/>
      <c r="O1069" s="121"/>
      <c r="P1069" s="121"/>
      <c r="Q1069" s="121"/>
      <c r="R1069" s="120"/>
      <c r="S1069" s="120"/>
      <c r="T1069" s="120"/>
      <c r="U1069" s="120"/>
      <c r="X1069" s="92"/>
    </row>
    <row r="1070" spans="14:24" x14ac:dyDescent="0.2">
      <c r="N1070" s="120"/>
      <c r="O1070" s="121"/>
      <c r="P1070" s="121"/>
      <c r="Q1070" s="121"/>
      <c r="R1070" s="120"/>
      <c r="S1070" s="120"/>
      <c r="T1070" s="120"/>
      <c r="U1070" s="120"/>
      <c r="X1070" s="92"/>
    </row>
    <row r="1071" spans="14:24" x14ac:dyDescent="0.2">
      <c r="N1071" s="120"/>
      <c r="O1071" s="121"/>
      <c r="P1071" s="121"/>
      <c r="Q1071" s="121"/>
      <c r="R1071" s="120"/>
      <c r="S1071" s="120"/>
      <c r="T1071" s="120"/>
      <c r="U1071" s="120"/>
      <c r="X1071" s="92"/>
    </row>
    <row r="1072" spans="14:24" x14ac:dyDescent="0.2">
      <c r="N1072" s="120"/>
      <c r="O1072" s="121"/>
      <c r="P1072" s="121"/>
      <c r="Q1072" s="121"/>
      <c r="R1072" s="120"/>
      <c r="S1072" s="120"/>
      <c r="T1072" s="120"/>
      <c r="U1072" s="120"/>
      <c r="X1072" s="92"/>
    </row>
    <row r="1073" spans="14:24" x14ac:dyDescent="0.2">
      <c r="N1073" s="120"/>
      <c r="O1073" s="121"/>
      <c r="P1073" s="121"/>
      <c r="Q1073" s="121"/>
      <c r="R1073" s="120"/>
      <c r="S1073" s="120"/>
      <c r="T1073" s="120"/>
      <c r="U1073" s="120"/>
      <c r="X1073" s="92"/>
    </row>
    <row r="1074" spans="14:24" x14ac:dyDescent="0.2">
      <c r="N1074" s="120"/>
      <c r="O1074" s="121"/>
      <c r="P1074" s="121"/>
      <c r="Q1074" s="121"/>
      <c r="R1074" s="120"/>
      <c r="S1074" s="120"/>
      <c r="T1074" s="120"/>
      <c r="U1074" s="120"/>
      <c r="X1074" s="92"/>
    </row>
    <row r="1075" spans="14:24" x14ac:dyDescent="0.2">
      <c r="N1075" s="120"/>
      <c r="O1075" s="121"/>
      <c r="P1075" s="121"/>
      <c r="Q1075" s="121"/>
      <c r="R1075" s="120"/>
      <c r="S1075" s="120"/>
      <c r="T1075" s="120"/>
      <c r="U1075" s="120"/>
      <c r="X1075" s="92"/>
    </row>
    <row r="1076" spans="14:24" x14ac:dyDescent="0.2">
      <c r="N1076" s="120"/>
      <c r="O1076" s="121"/>
      <c r="P1076" s="121"/>
      <c r="Q1076" s="121"/>
      <c r="R1076" s="120"/>
      <c r="S1076" s="120"/>
      <c r="T1076" s="120"/>
      <c r="U1076" s="120"/>
      <c r="X1076" s="92"/>
    </row>
    <row r="1077" spans="14:24" x14ac:dyDescent="0.2">
      <c r="N1077" s="120"/>
      <c r="O1077" s="121"/>
      <c r="P1077" s="121"/>
      <c r="Q1077" s="121"/>
      <c r="R1077" s="120"/>
      <c r="S1077" s="120"/>
      <c r="T1077" s="120"/>
      <c r="U1077" s="120"/>
      <c r="X1077" s="92"/>
    </row>
    <row r="1078" spans="14:24" x14ac:dyDescent="0.2">
      <c r="N1078" s="120"/>
      <c r="O1078" s="121"/>
      <c r="P1078" s="121"/>
      <c r="Q1078" s="121"/>
      <c r="R1078" s="120"/>
      <c r="S1078" s="120"/>
      <c r="T1078" s="120"/>
      <c r="U1078" s="120"/>
      <c r="X1078" s="92"/>
    </row>
    <row r="1079" spans="14:24" x14ac:dyDescent="0.2">
      <c r="N1079" s="120"/>
      <c r="O1079" s="121"/>
      <c r="P1079" s="121"/>
      <c r="Q1079" s="121"/>
      <c r="R1079" s="120"/>
      <c r="S1079" s="120"/>
      <c r="T1079" s="120"/>
      <c r="U1079" s="120"/>
      <c r="X1079" s="92"/>
    </row>
    <row r="1080" spans="14:24" x14ac:dyDescent="0.2">
      <c r="N1080" s="120"/>
      <c r="O1080" s="121"/>
      <c r="P1080" s="121"/>
      <c r="Q1080" s="121"/>
      <c r="R1080" s="120"/>
      <c r="S1080" s="120"/>
      <c r="T1080" s="120"/>
      <c r="U1080" s="120"/>
      <c r="X1080" s="92"/>
    </row>
    <row r="1081" spans="14:24" x14ac:dyDescent="0.2">
      <c r="N1081" s="120"/>
      <c r="O1081" s="121"/>
      <c r="P1081" s="121"/>
      <c r="Q1081" s="121"/>
      <c r="R1081" s="120"/>
      <c r="S1081" s="120"/>
      <c r="T1081" s="120"/>
      <c r="U1081" s="120"/>
      <c r="X1081" s="92"/>
    </row>
    <row r="1082" spans="14:24" x14ac:dyDescent="0.2">
      <c r="N1082" s="120"/>
      <c r="O1082" s="121"/>
      <c r="P1082" s="121"/>
      <c r="Q1082" s="121"/>
      <c r="R1082" s="120"/>
      <c r="S1082" s="120"/>
      <c r="T1082" s="120"/>
      <c r="U1082" s="120"/>
      <c r="X1082" s="92"/>
    </row>
    <row r="1083" spans="14:24" x14ac:dyDescent="0.2">
      <c r="N1083" s="120"/>
      <c r="O1083" s="121"/>
      <c r="P1083" s="121"/>
      <c r="Q1083" s="121"/>
      <c r="R1083" s="120"/>
      <c r="S1083" s="120"/>
      <c r="T1083" s="120"/>
      <c r="U1083" s="120"/>
      <c r="X1083" s="92"/>
    </row>
    <row r="1084" spans="14:24" x14ac:dyDescent="0.2">
      <c r="N1084" s="120"/>
      <c r="O1084" s="121"/>
      <c r="P1084" s="121"/>
      <c r="Q1084" s="121"/>
      <c r="R1084" s="120"/>
      <c r="S1084" s="120"/>
      <c r="T1084" s="120"/>
      <c r="U1084" s="120"/>
      <c r="X1084" s="92"/>
    </row>
    <row r="1085" spans="14:24" x14ac:dyDescent="0.2">
      <c r="N1085" s="120"/>
      <c r="O1085" s="121"/>
      <c r="P1085" s="121"/>
      <c r="Q1085" s="121"/>
      <c r="R1085" s="120"/>
      <c r="S1085" s="120"/>
      <c r="T1085" s="120"/>
      <c r="U1085" s="120"/>
      <c r="X1085" s="92"/>
    </row>
  </sheetData>
  <mergeCells count="21">
    <mergeCell ref="Z1:AB1"/>
    <mergeCell ref="A2:B2"/>
    <mergeCell ref="N2:U2"/>
    <mergeCell ref="Z2:AB3"/>
    <mergeCell ref="AA5:AB5"/>
    <mergeCell ref="AA6:AB6"/>
    <mergeCell ref="AA8:AB8"/>
    <mergeCell ref="Z10:AB10"/>
    <mergeCell ref="Z11:AB12"/>
    <mergeCell ref="Z25:AA25"/>
    <mergeCell ref="Z27:AB27"/>
    <mergeCell ref="AA28:AB28"/>
    <mergeCell ref="AA29:AB29"/>
    <mergeCell ref="AA30:AB30"/>
    <mergeCell ref="AA31:AB31"/>
    <mergeCell ref="AA37:AB37"/>
    <mergeCell ref="Z46:AB47"/>
    <mergeCell ref="Z39:AB39"/>
    <mergeCell ref="Z40:AB41"/>
    <mergeCell ref="Z42:AB43"/>
    <mergeCell ref="Z44:AB45"/>
  </mergeCells>
  <phoneticPr fontId="0" type="noConversion"/>
  <conditionalFormatting sqref="N3:U65536 AA8">
    <cfRule type="expression" dxfId="0" priority="1" stopIfTrue="1">
      <formula>ISERROR(N3)</formula>
    </cfRule>
  </conditionalFormatting>
  <dataValidations count="3">
    <dataValidation type="whole" operator="equal" allowBlank="1" showErrorMessage="1" error="Les cellules roses doivent être remplies avec &quot;1&quot; pour OUI ou être vides pour NON" sqref="AA8:AB8" xr:uid="{8C4EA935-13F2-4621-8467-51594099B82A}">
      <formula1>1</formula1>
    </dataValidation>
    <dataValidation type="list" allowBlank="1" showDropDown="1" showErrorMessage="1" error="Les cellules roses doivent être remplies avec &quot;1&quot; pour OUI ou être vides pour NON" sqref="N3:U65536" xr:uid="{30FCF65B-EEA8-438D-9775-5FC185259A64}">
      <formula1>"1"</formula1>
    </dataValidation>
    <dataValidation type="whole" errorStyle="information" operator="equal" allowBlank="1" showErrorMessage="1" errorTitle="Erreur cotisation individuelle" error="Si vous souhaitez renseigner la cotisation individuelle de vos adhérents, vous devez remplir la case concernée avec &quot;1&quot;. Auquel cas elle doit rester vide" sqref="N1:N2" xr:uid="{CB58A601-0FA0-437F-8D46-AACCCD52CC84}">
      <formula1>1</formula1>
    </dataValidation>
  </dataValidations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8AD1-282B-4B25-97DA-414C87A8A0B6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24C4-9F50-4184-981D-8798FF9C70B6}">
  <dimension ref="A1"/>
  <sheetViews>
    <sheetView workbookViewId="0"/>
  </sheetViews>
  <sheetFormatPr baseColWidth="10" defaultRowHeight="12.75" x14ac:dyDescent="0.2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</dc:creator>
  <cp:lastModifiedBy>Fanny Arles</cp:lastModifiedBy>
  <dcterms:created xsi:type="dcterms:W3CDTF">2025-12-30T18:18:27Z</dcterms:created>
  <dcterms:modified xsi:type="dcterms:W3CDTF">2025-12-31T00:26:24Z</dcterms:modified>
</cp:coreProperties>
</file>